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d\OneDrive\Área de Trabalho\"/>
    </mc:Choice>
  </mc:AlternateContent>
  <xr:revisionPtr revIDLastSave="0" documentId="13_ncr:1_{D32E18A3-A6C3-4B7C-A3E7-4B82B7A09D46}" xr6:coauthVersionLast="47" xr6:coauthVersionMax="47" xr10:uidLastSave="{00000000-0000-0000-0000-000000000000}"/>
  <bookViews>
    <workbookView xWindow="-108" yWindow="-108" windowWidth="23256" windowHeight="12456" activeTab="4" xr2:uid="{8A843574-7877-4513-B078-9A34921134AE}"/>
  </bookViews>
  <sheets>
    <sheet name="Exemplo 1" sheetId="1" r:id="rId1"/>
    <sheet name="Exercício 1" sheetId="2" r:id="rId2"/>
    <sheet name="Exemplo" sheetId="7" r:id="rId3"/>
    <sheet name="Exemplo 1 - igor" sheetId="8" r:id="rId4"/>
    <sheet name="Exercicio - igor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9" l="1"/>
  <c r="D62" i="9"/>
  <c r="M60" i="9"/>
  <c r="M52" i="9"/>
  <c r="M53" i="9"/>
  <c r="M54" i="9"/>
  <c r="M55" i="9"/>
  <c r="M56" i="9"/>
  <c r="M57" i="9"/>
  <c r="M58" i="9"/>
  <c r="M59" i="9"/>
  <c r="M51" i="9"/>
  <c r="G51" i="9"/>
  <c r="F51" i="9"/>
  <c r="H52" i="9" s="1"/>
  <c r="G50" i="9"/>
  <c r="N50" i="9" s="1"/>
  <c r="F50" i="9"/>
  <c r="H51" i="9" s="1"/>
  <c r="A50" i="9"/>
  <c r="A51" i="9" s="1"/>
  <c r="A52" i="9" s="1"/>
  <c r="A53" i="9" s="1"/>
  <c r="A54" i="9" s="1"/>
  <c r="A55" i="9" s="1"/>
  <c r="A56" i="9" s="1"/>
  <c r="A57" i="9" s="1"/>
  <c r="A58" i="9" s="1"/>
  <c r="A59" i="9" s="1"/>
  <c r="A28" i="9"/>
  <c r="A30" i="9" s="1"/>
  <c r="A32" i="9" s="1"/>
  <c r="A34" i="9" s="1"/>
  <c r="A36" i="9" s="1"/>
  <c r="A38" i="9" s="1"/>
  <c r="A40" i="9" s="1"/>
  <c r="A42" i="9" s="1"/>
  <c r="A44" i="9" s="1"/>
  <c r="C12" i="9"/>
  <c r="D18" i="9" s="1"/>
  <c r="G3" i="9"/>
  <c r="F3" i="9"/>
  <c r="H4" i="9" s="1"/>
  <c r="G2" i="9"/>
  <c r="F2" i="9"/>
  <c r="H3" i="9" s="1"/>
  <c r="A2" i="9"/>
  <c r="A3" i="9" s="1"/>
  <c r="A4" i="9" s="1"/>
  <c r="A5" i="9" s="1"/>
  <c r="A6" i="9" s="1"/>
  <c r="A7" i="9" s="1"/>
  <c r="A8" i="9" s="1"/>
  <c r="A9" i="9" s="1"/>
  <c r="A10" i="9" s="1"/>
  <c r="A11" i="9" s="1"/>
  <c r="H27" i="8"/>
  <c r="H23" i="8"/>
  <c r="H4" i="8"/>
  <c r="F2" i="8"/>
  <c r="G2" i="8" s="1"/>
  <c r="H3" i="8"/>
  <c r="C3" i="8"/>
  <c r="C4" i="8" s="1"/>
  <c r="H2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6" i="7"/>
  <c r="A8" i="7" s="1"/>
  <c r="A10" i="7" s="1"/>
  <c r="A12" i="7" s="1"/>
  <c r="A14" i="7" s="1"/>
  <c r="A16" i="7" s="1"/>
  <c r="A18" i="7" s="1"/>
  <c r="A20" i="7" s="1"/>
  <c r="A22" i="7" s="1"/>
  <c r="I51" i="9" l="1"/>
  <c r="I50" i="9"/>
  <c r="L50" i="9" s="1"/>
  <c r="K51" i="9" s="1"/>
  <c r="L51" i="9" s="1"/>
  <c r="D52" i="9"/>
  <c r="D4" i="9"/>
  <c r="F3" i="8"/>
  <c r="G3" i="8" s="1"/>
  <c r="F4" i="8"/>
  <c r="C5" i="8"/>
  <c r="I3" i="8"/>
  <c r="C16" i="2"/>
  <c r="C20" i="2"/>
  <c r="D11" i="2"/>
  <c r="E11" i="2" s="1"/>
  <c r="G11" i="2"/>
  <c r="G9" i="2"/>
  <c r="E9" i="2"/>
  <c r="D10" i="2" s="1"/>
  <c r="E10" i="2" s="1"/>
  <c r="H11" i="2" s="1"/>
  <c r="D2" i="2"/>
  <c r="D3" i="2"/>
  <c r="G3" i="2"/>
  <c r="E3" i="2"/>
  <c r="D4" i="2" s="1"/>
  <c r="E4" i="2" s="1"/>
  <c r="E2" i="2"/>
  <c r="H3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H17" i="1"/>
  <c r="M10" i="1" s="1"/>
  <c r="M8" i="1"/>
  <c r="M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N51" i="9" l="1"/>
  <c r="G52" i="9"/>
  <c r="F52" i="9"/>
  <c r="I52" i="9" s="1"/>
  <c r="E52" i="9"/>
  <c r="C6" i="8"/>
  <c r="I4" i="8"/>
  <c r="G4" i="8"/>
  <c r="E5" i="8" s="1"/>
  <c r="D5" i="2"/>
  <c r="E5" i="2" s="1"/>
  <c r="F5" i="2"/>
  <c r="G5" i="2" s="1"/>
  <c r="F4" i="2"/>
  <c r="F10" i="2"/>
  <c r="G10" i="2" s="1"/>
  <c r="K52" i="9" l="1"/>
  <c r="L52" i="9" s="1"/>
  <c r="D53" i="9"/>
  <c r="H53" i="9"/>
  <c r="H5" i="8"/>
  <c r="C7" i="8"/>
  <c r="F5" i="8"/>
  <c r="F6" i="2"/>
  <c r="G6" i="2" s="1"/>
  <c r="D6" i="2"/>
  <c r="E6" i="2" s="1"/>
  <c r="G4" i="2"/>
  <c r="N52" i="9" l="1"/>
  <c r="G53" i="9"/>
  <c r="E53" i="9"/>
  <c r="F53" i="9"/>
  <c r="I53" i="9" s="1"/>
  <c r="K53" i="9" s="1"/>
  <c r="C8" i="8"/>
  <c r="G5" i="8"/>
  <c r="E6" i="8" s="1"/>
  <c r="I5" i="8"/>
  <c r="F7" i="2"/>
  <c r="G7" i="2" s="1"/>
  <c r="D7" i="2"/>
  <c r="E7" i="2" s="1"/>
  <c r="N53" i="9" l="1"/>
  <c r="L53" i="9"/>
  <c r="D54" i="9"/>
  <c r="H54" i="9"/>
  <c r="H6" i="8"/>
  <c r="F6" i="8"/>
  <c r="C9" i="8"/>
  <c r="D8" i="2"/>
  <c r="E8" i="2" s="1"/>
  <c r="H9" i="2" s="1"/>
  <c r="C18" i="2" s="1"/>
  <c r="F8" i="2"/>
  <c r="G8" i="2" s="1"/>
  <c r="C22" i="2" s="1"/>
  <c r="C14" i="2"/>
  <c r="F54" i="9" l="1"/>
  <c r="I54" i="9" s="1"/>
  <c r="E54" i="9"/>
  <c r="G54" i="9"/>
  <c r="C10" i="8"/>
  <c r="I6" i="8"/>
  <c r="G6" i="8"/>
  <c r="E7" i="8" s="1"/>
  <c r="K54" i="9" l="1"/>
  <c r="H55" i="9"/>
  <c r="D55" i="9"/>
  <c r="H7" i="8"/>
  <c r="F7" i="8"/>
  <c r="C11" i="8"/>
  <c r="L54" i="9" l="1"/>
  <c r="N54" i="9"/>
  <c r="F55" i="9"/>
  <c r="I55" i="9" s="1"/>
  <c r="G55" i="9"/>
  <c r="E55" i="9"/>
  <c r="I7" i="8"/>
  <c r="G7" i="8"/>
  <c r="E8" i="8" s="1"/>
  <c r="C12" i="8"/>
  <c r="K55" i="9" l="1"/>
  <c r="N55" i="9" s="1"/>
  <c r="H56" i="9"/>
  <c r="D56" i="9"/>
  <c r="H8" i="8"/>
  <c r="F8" i="8"/>
  <c r="C13" i="8"/>
  <c r="L55" i="9" l="1"/>
  <c r="G56" i="9"/>
  <c r="F56" i="9"/>
  <c r="I56" i="9" s="1"/>
  <c r="K56" i="9" s="1"/>
  <c r="E56" i="9"/>
  <c r="C14" i="8"/>
  <c r="G8" i="8"/>
  <c r="E9" i="8" s="1"/>
  <c r="I8" i="8"/>
  <c r="N56" i="9" l="1"/>
  <c r="L56" i="9"/>
  <c r="D57" i="9"/>
  <c r="H57" i="9"/>
  <c r="H9" i="8"/>
  <c r="F9" i="8"/>
  <c r="C15" i="8"/>
  <c r="C16" i="8" s="1"/>
  <c r="G57" i="9" l="1"/>
  <c r="F57" i="9"/>
  <c r="I57" i="9" s="1"/>
  <c r="E57" i="9"/>
  <c r="G9" i="8"/>
  <c r="E10" i="8" s="1"/>
  <c r="I9" i="8"/>
  <c r="K57" i="9" l="1"/>
  <c r="L57" i="9" s="1"/>
  <c r="D58" i="9"/>
  <c r="H58" i="9"/>
  <c r="H10" i="8"/>
  <c r="F10" i="8"/>
  <c r="N57" i="9" l="1"/>
  <c r="F58" i="9"/>
  <c r="I58" i="9" s="1"/>
  <c r="E58" i="9"/>
  <c r="G58" i="9"/>
  <c r="I10" i="8"/>
  <c r="G10" i="8"/>
  <c r="E11" i="8" s="1"/>
  <c r="K58" i="9" l="1"/>
  <c r="L58" i="9" s="1"/>
  <c r="H59" i="9"/>
  <c r="D59" i="9"/>
  <c r="H11" i="8"/>
  <c r="F11" i="8"/>
  <c r="N58" i="9" l="1"/>
  <c r="F59" i="9"/>
  <c r="I59" i="9" s="1"/>
  <c r="G59" i="9"/>
  <c r="E59" i="9"/>
  <c r="I11" i="8"/>
  <c r="G11" i="8"/>
  <c r="E12" i="8" s="1"/>
  <c r="K59" i="9" l="1"/>
  <c r="N59" i="9" s="1"/>
  <c r="N60" i="9" s="1"/>
  <c r="D61" i="9" s="1"/>
  <c r="H12" i="8"/>
  <c r="F12" i="8"/>
  <c r="L59" i="9" l="1"/>
  <c r="K60" i="9"/>
  <c r="G12" i="8"/>
  <c r="E13" i="8" s="1"/>
  <c r="I12" i="8"/>
  <c r="H13" i="8" l="1"/>
  <c r="F13" i="8"/>
  <c r="G13" i="8" l="1"/>
  <c r="E14" i="8" s="1"/>
  <c r="I13" i="8"/>
  <c r="H14" i="8" l="1"/>
  <c r="F14" i="8"/>
  <c r="G14" i="8" l="1"/>
  <c r="E15" i="8" s="1"/>
  <c r="I14" i="8"/>
  <c r="H15" i="8" l="1"/>
  <c r="F15" i="8"/>
  <c r="G15" i="8" l="1"/>
  <c r="E16" i="8" s="1"/>
  <c r="I15" i="8"/>
  <c r="H21" i="8" l="1"/>
  <c r="H16" i="8"/>
  <c r="H25" i="8" s="1"/>
  <c r="F16" i="8"/>
  <c r="I16" i="8" l="1"/>
  <c r="G16" i="8"/>
  <c r="E4" i="9"/>
  <c r="G4" i="9"/>
  <c r="F4" i="9"/>
  <c r="D5" i="9" s="1"/>
  <c r="F5" i="9" s="1"/>
  <c r="H5" i="9" l="1"/>
  <c r="H6" i="9"/>
  <c r="D6" i="9"/>
  <c r="G5" i="9"/>
  <c r="E5" i="9"/>
  <c r="E6" i="9" l="1"/>
  <c r="F6" i="9"/>
  <c r="G6" i="9"/>
  <c r="D7" i="9" l="1"/>
  <c r="H7" i="9"/>
  <c r="E7" i="9" l="1"/>
  <c r="G7" i="9"/>
  <c r="F7" i="9"/>
  <c r="H8" i="9" l="1"/>
  <c r="D8" i="9"/>
  <c r="E8" i="9" l="1"/>
  <c r="G8" i="9"/>
  <c r="F8" i="9"/>
  <c r="H9" i="9" l="1"/>
  <c r="D9" i="9"/>
  <c r="G9" i="9" l="1"/>
  <c r="F9" i="9"/>
  <c r="E9" i="9"/>
  <c r="D10" i="9" l="1"/>
  <c r="H10" i="9"/>
  <c r="E10" i="9" l="1"/>
  <c r="G10" i="9"/>
  <c r="F10" i="9"/>
  <c r="H11" i="9" l="1"/>
  <c r="H12" i="9" s="1"/>
  <c r="D11" i="9"/>
  <c r="E11" i="9" l="1"/>
  <c r="G11" i="9"/>
  <c r="F11" i="9"/>
  <c r="D19" i="9" s="1"/>
</calcChain>
</file>

<file path=xl/sharedStrings.xml><?xml version="1.0" encoding="utf-8"?>
<sst xmlns="http://schemas.openxmlformats.org/spreadsheetml/2006/main" count="214" uniqueCount="68">
  <si>
    <t>cliente</t>
  </si>
  <si>
    <t>TEC</t>
  </si>
  <si>
    <t>Tempo de chegada no relógio</t>
  </si>
  <si>
    <t>Tempo de serviço</t>
  </si>
  <si>
    <t>Tempo de inicío de serviço no relogio</t>
  </si>
  <si>
    <t>Tempo cleintes na fila</t>
  </si>
  <si>
    <t>Tempo final do serviço relógio</t>
  </si>
  <si>
    <t>Tempo do clinte no sistema</t>
  </si>
  <si>
    <t>Tempo livre do operador</t>
  </si>
  <si>
    <t>Tempo entre chegadas</t>
  </si>
  <si>
    <t>Tempo de parada</t>
  </si>
  <si>
    <t>180 min</t>
  </si>
  <si>
    <t>Taxa de ocupação</t>
  </si>
  <si>
    <t>Chance de fila</t>
  </si>
  <si>
    <t>min</t>
  </si>
  <si>
    <t>Tempo de chegada a sala</t>
  </si>
  <si>
    <t>tempo de entrada em atedimento</t>
  </si>
  <si>
    <t>tempo de espera fila</t>
  </si>
  <si>
    <t>tempo total gasto</t>
  </si>
  <si>
    <t>tempo livre do professor</t>
  </si>
  <si>
    <t>Tempo de atendimento</t>
  </si>
  <si>
    <t>Tempo de saída da sala</t>
  </si>
  <si>
    <t>Tempo médio na fila</t>
  </si>
  <si>
    <t>probabilidade de um cliente esperar na fila</t>
  </si>
  <si>
    <t>proporção de tempo livre do operador</t>
  </si>
  <si>
    <t>tempo médio de serviço</t>
  </si>
  <si>
    <t>tempo médio de permanencia no sistema</t>
  </si>
  <si>
    <t>mim</t>
  </si>
  <si>
    <t>Aluno</t>
  </si>
  <si>
    <t>livre</t>
  </si>
  <si>
    <t>Tempo de evento</t>
  </si>
  <si>
    <t>Tipo de evento</t>
  </si>
  <si>
    <t>Número de alunos na fila</t>
  </si>
  <si>
    <t>Número de alunos na sala</t>
  </si>
  <si>
    <t>Estado do Professor</t>
  </si>
  <si>
    <t>Tempo de ocupação Professor</t>
  </si>
  <si>
    <t>-</t>
  </si>
  <si>
    <t>ocupado</t>
  </si>
  <si>
    <t>chegada</t>
  </si>
  <si>
    <t>saída</t>
  </si>
  <si>
    <t>ínicio</t>
  </si>
  <si>
    <t>O que queremos descobrir com a simulação ?</t>
  </si>
  <si>
    <t xml:space="preserve"> 1. Tamanho da área de espera disponivel para os carros.</t>
  </si>
  <si>
    <t>2. O tempo de realização do serviço.</t>
  </si>
  <si>
    <t>3. A necessidade de contratar mais um operador.</t>
  </si>
  <si>
    <t xml:space="preserve"> </t>
  </si>
  <si>
    <t>Tempo clintes na fila</t>
  </si>
  <si>
    <t>Tempo médio de espera na fila - min ( Tempo de espera na fila / Nº total de clientes)</t>
  </si>
  <si>
    <t>Tempo médio de serviço - min</t>
  </si>
  <si>
    <t xml:space="preserve">Tempo médio despedido no sistema - min </t>
  </si>
  <si>
    <t>Probabilidade do operador livre</t>
  </si>
  <si>
    <t>Objetivo :</t>
  </si>
  <si>
    <t>1. Determinar o tempo médio que um estudante passa tirando duvidas.</t>
  </si>
  <si>
    <t>2. Percentagem do tempo que o professor fica ocupado titrando duvidas.</t>
  </si>
  <si>
    <t>Tempo médio que um estudante passa tirando divida</t>
  </si>
  <si>
    <t>Porcentagem do tempo que o professor fica ocupado</t>
  </si>
  <si>
    <t>%</t>
  </si>
  <si>
    <t>saida</t>
  </si>
  <si>
    <t>Repografia TC</t>
  </si>
  <si>
    <t>Repografia TA</t>
  </si>
  <si>
    <t>Repografia Fila</t>
  </si>
  <si>
    <t>Repografia Saida</t>
  </si>
  <si>
    <t>Segunda Etapa</t>
  </si>
  <si>
    <t>Tempo médio de alunos no sistema</t>
  </si>
  <si>
    <t>Tempo total gasto</t>
  </si>
  <si>
    <t>Tempo médio fila repografia</t>
  </si>
  <si>
    <t>Repografia TL</t>
  </si>
  <si>
    <t>Percentual de ociosidade da reprografia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</si>
</sst>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5" fillId="6" borderId="0" xfId="0" applyFont="1" applyFill="1"/>
    <xf numFmtId="0" fontId="2" fillId="0" borderId="5" xfId="0" applyFont="1" applyBorder="1" applyAlignment="1">
      <alignment horizontal="center" vertical="center" wrapText="1"/>
    </xf>
    <xf numFmtId="0" fontId="5" fillId="3" borderId="0" xfId="0" applyFont="1" applyFill="1"/>
    <xf numFmtId="0" fontId="0" fillId="7" borderId="7" xfId="0" applyFill="1" applyBorder="1"/>
    <xf numFmtId="0" fontId="0" fillId="7" borderId="8" xfId="0" applyFill="1" applyBorder="1"/>
    <xf numFmtId="0" fontId="2" fillId="0" borderId="12" xfId="0" applyFont="1" applyBorder="1" applyAlignment="1">
      <alignment horizontal="center" vertical="center" wrapText="1"/>
    </xf>
    <xf numFmtId="0" fontId="5" fillId="3" borderId="9" xfId="0" applyFont="1" applyFill="1" applyBorder="1"/>
    <xf numFmtId="0" fontId="5" fillId="3" borderId="13" xfId="0" applyFont="1" applyFill="1" applyBorder="1"/>
    <xf numFmtId="0" fontId="0" fillId="3" borderId="13" xfId="0" applyFill="1" applyBorder="1"/>
    <xf numFmtId="0" fontId="5" fillId="3" borderId="10" xfId="0" applyFont="1" applyFill="1" applyBorder="1"/>
    <xf numFmtId="0" fontId="5" fillId="3" borderId="14" xfId="0" applyFont="1" applyFill="1" applyBorder="1"/>
    <xf numFmtId="0" fontId="0" fillId="3" borderId="0" xfId="0" applyFill="1"/>
    <xf numFmtId="0" fontId="5" fillId="3" borderId="15" xfId="0" applyFont="1" applyFill="1" applyBorder="1"/>
    <xf numFmtId="0" fontId="5" fillId="3" borderId="16" xfId="0" applyFont="1" applyFill="1" applyBorder="1"/>
    <xf numFmtId="0" fontId="5" fillId="3" borderId="17" xfId="0" applyFont="1" applyFill="1" applyBorder="1"/>
    <xf numFmtId="0" fontId="0" fillId="3" borderId="17" xfId="0" applyFill="1" applyBorder="1"/>
    <xf numFmtId="0" fontId="5" fillId="3" borderId="18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2" fontId="5" fillId="7" borderId="7" xfId="0" applyNumberFormat="1" applyFont="1" applyFill="1" applyBorder="1"/>
    <xf numFmtId="0" fontId="5" fillId="7" borderId="8" xfId="0" applyFont="1" applyFill="1" applyBorder="1"/>
    <xf numFmtId="0" fontId="5" fillId="7" borderId="7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 vertical="center" wrapText="1"/>
    </xf>
    <xf numFmtId="20" fontId="2" fillId="0" borderId="1" xfId="1" applyNumberFormat="1" applyFont="1" applyBorder="1" applyAlignment="1">
      <alignment horizontal="center" vertical="center" wrapText="1"/>
    </xf>
    <xf numFmtId="0" fontId="0" fillId="12" borderId="7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1D33-4F53-40BA-A837-3F74EE32CA17}">
  <dimension ref="A1:N17"/>
  <sheetViews>
    <sheetView workbookViewId="0">
      <selection activeCell="G10" sqref="G10"/>
    </sheetView>
  </sheetViews>
  <sheetFormatPr defaultColWidth="8.88671875" defaultRowHeight="13.8" x14ac:dyDescent="0.3"/>
  <cols>
    <col min="1" max="2" width="8.88671875" style="1"/>
    <col min="3" max="3" width="12.21875" style="1" customWidth="1"/>
    <col min="4" max="4" width="8.88671875" style="1"/>
    <col min="5" max="5" width="15.44140625" style="1" customWidth="1"/>
    <col min="6" max="6" width="8.88671875" style="1"/>
    <col min="7" max="7" width="11.109375" style="1" customWidth="1"/>
    <col min="8" max="8" width="11.33203125" style="1" customWidth="1"/>
    <col min="9" max="9" width="11.21875" style="1" customWidth="1"/>
    <col min="10" max="16384" width="8.88671875" style="1"/>
  </cols>
  <sheetData>
    <row r="1" spans="1:14" ht="55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4" ht="14.4" customHeight="1" x14ac:dyDescent="0.3">
      <c r="A2" s="3">
        <v>1</v>
      </c>
      <c r="B2" s="3"/>
      <c r="C2" s="3">
        <v>15</v>
      </c>
      <c r="D2" s="3"/>
      <c r="E2" s="3">
        <v>15</v>
      </c>
      <c r="F2" s="3">
        <v>0</v>
      </c>
      <c r="G2" s="3">
        <v>26</v>
      </c>
      <c r="H2" s="3">
        <v>11</v>
      </c>
      <c r="I2" s="3">
        <v>15</v>
      </c>
      <c r="K2" s="2" t="s">
        <v>1</v>
      </c>
      <c r="L2" s="46" t="s">
        <v>9</v>
      </c>
      <c r="M2" s="46"/>
      <c r="N2" s="46"/>
    </row>
    <row r="3" spans="1:14" x14ac:dyDescent="0.3">
      <c r="A3" s="3">
        <f>1+A2</f>
        <v>2</v>
      </c>
      <c r="B3" s="3"/>
      <c r="C3" s="3">
        <v>27</v>
      </c>
      <c r="D3" s="3"/>
      <c r="E3" s="3">
        <v>27</v>
      </c>
      <c r="F3" s="3">
        <v>0</v>
      </c>
      <c r="G3" s="3">
        <v>37</v>
      </c>
      <c r="H3" s="3">
        <v>10</v>
      </c>
      <c r="I3" s="3">
        <v>1</v>
      </c>
    </row>
    <row r="4" spans="1:14" ht="14.4" customHeight="1" x14ac:dyDescent="0.3">
      <c r="A4" s="3">
        <f t="shared" ref="A4:A15" si="0">1+A3</f>
        <v>3</v>
      </c>
      <c r="B4" s="3"/>
      <c r="C4" s="3">
        <v>37</v>
      </c>
      <c r="D4" s="3"/>
      <c r="E4" s="3">
        <v>37</v>
      </c>
      <c r="F4" s="3">
        <v>0</v>
      </c>
      <c r="G4" s="3">
        <v>46</v>
      </c>
      <c r="H4" s="3">
        <v>9</v>
      </c>
      <c r="I4" s="3">
        <v>0</v>
      </c>
      <c r="K4" s="46" t="s">
        <v>10</v>
      </c>
      <c r="L4" s="46"/>
      <c r="M4" s="47" t="s">
        <v>11</v>
      </c>
      <c r="N4" s="47"/>
    </row>
    <row r="5" spans="1:14" x14ac:dyDescent="0.3">
      <c r="A5" s="3">
        <f t="shared" si="0"/>
        <v>4</v>
      </c>
      <c r="B5" s="3"/>
      <c r="C5" s="3">
        <v>47</v>
      </c>
      <c r="D5" s="3"/>
      <c r="E5" s="3">
        <v>47</v>
      </c>
      <c r="F5" s="3">
        <v>0</v>
      </c>
      <c r="G5" s="3">
        <v>57</v>
      </c>
      <c r="H5" s="3">
        <v>10</v>
      </c>
      <c r="I5" s="3">
        <v>1</v>
      </c>
    </row>
    <row r="6" spans="1:14" x14ac:dyDescent="0.3">
      <c r="A6" s="3">
        <f t="shared" si="0"/>
        <v>5</v>
      </c>
      <c r="B6" s="3"/>
      <c r="C6" s="3">
        <v>59</v>
      </c>
      <c r="D6" s="3"/>
      <c r="E6" s="3">
        <v>59</v>
      </c>
      <c r="F6" s="3">
        <v>0</v>
      </c>
      <c r="G6" s="3">
        <v>68</v>
      </c>
      <c r="H6" s="3">
        <v>9</v>
      </c>
      <c r="I6" s="3">
        <v>2</v>
      </c>
      <c r="K6" s="46" t="s">
        <v>12</v>
      </c>
      <c r="L6" s="46"/>
      <c r="M6" s="48">
        <f>1-SUM(I2:I16)/G16</f>
        <v>0.7978723404255319</v>
      </c>
      <c r="N6" s="48"/>
    </row>
    <row r="7" spans="1:14" x14ac:dyDescent="0.3">
      <c r="A7" s="3">
        <f t="shared" si="0"/>
        <v>6</v>
      </c>
      <c r="B7" s="3"/>
      <c r="C7" s="3">
        <v>74</v>
      </c>
      <c r="D7" s="3"/>
      <c r="E7" s="3">
        <v>74</v>
      </c>
      <c r="F7" s="3">
        <v>0</v>
      </c>
      <c r="G7" s="3">
        <v>84</v>
      </c>
      <c r="H7" s="3">
        <v>10</v>
      </c>
      <c r="I7" s="3">
        <v>6</v>
      </c>
    </row>
    <row r="8" spans="1:14" x14ac:dyDescent="0.3">
      <c r="A8" s="3">
        <f t="shared" si="0"/>
        <v>7</v>
      </c>
      <c r="B8" s="3"/>
      <c r="C8" s="3">
        <v>84</v>
      </c>
      <c r="D8" s="3"/>
      <c r="E8" s="3">
        <v>84</v>
      </c>
      <c r="F8" s="3">
        <v>0</v>
      </c>
      <c r="G8" s="3">
        <v>95</v>
      </c>
      <c r="H8" s="3">
        <v>11</v>
      </c>
      <c r="I8" s="3">
        <v>0</v>
      </c>
      <c r="K8" s="46" t="s">
        <v>13</v>
      </c>
      <c r="L8" s="46"/>
      <c r="M8" s="48">
        <f>2/15</f>
        <v>0.13333333333333333</v>
      </c>
      <c r="N8" s="48"/>
    </row>
    <row r="9" spans="1:14" x14ac:dyDescent="0.3">
      <c r="A9" s="3">
        <f t="shared" si="0"/>
        <v>8</v>
      </c>
      <c r="B9" s="3"/>
      <c r="C9" s="3">
        <v>96</v>
      </c>
      <c r="D9" s="3"/>
      <c r="E9" s="3">
        <v>96</v>
      </c>
      <c r="F9" s="3">
        <v>0</v>
      </c>
      <c r="G9" s="3">
        <v>105</v>
      </c>
      <c r="H9" s="3">
        <v>9</v>
      </c>
      <c r="I9" s="3">
        <v>1</v>
      </c>
    </row>
    <row r="10" spans="1:14" x14ac:dyDescent="0.3">
      <c r="A10" s="3">
        <f t="shared" si="0"/>
        <v>9</v>
      </c>
      <c r="B10" s="3"/>
      <c r="C10" s="3">
        <v>106</v>
      </c>
      <c r="D10" s="3"/>
      <c r="E10" s="3">
        <v>106</v>
      </c>
      <c r="F10" s="3">
        <v>0</v>
      </c>
      <c r="G10" s="3">
        <v>117</v>
      </c>
      <c r="H10" s="3">
        <v>11</v>
      </c>
      <c r="I10" s="3">
        <v>1</v>
      </c>
      <c r="K10" s="44"/>
      <c r="L10" s="45"/>
      <c r="M10" s="4">
        <f>H17/15</f>
        <v>10.133333333333333</v>
      </c>
      <c r="N10" s="5" t="s">
        <v>14</v>
      </c>
    </row>
    <row r="11" spans="1:14" x14ac:dyDescent="0.3">
      <c r="A11" s="3">
        <f t="shared" si="0"/>
        <v>10</v>
      </c>
      <c r="B11" s="3"/>
      <c r="C11" s="3">
        <v>116</v>
      </c>
      <c r="D11" s="3"/>
      <c r="E11" s="3">
        <v>117</v>
      </c>
      <c r="F11" s="3">
        <v>1</v>
      </c>
      <c r="G11" s="3">
        <v>127</v>
      </c>
      <c r="H11" s="3">
        <v>11</v>
      </c>
      <c r="I11" s="3">
        <v>0</v>
      </c>
    </row>
    <row r="12" spans="1:14" x14ac:dyDescent="0.3">
      <c r="A12" s="3">
        <f t="shared" si="0"/>
        <v>11</v>
      </c>
      <c r="B12" s="3"/>
      <c r="C12" s="3">
        <v>126</v>
      </c>
      <c r="D12" s="3"/>
      <c r="E12" s="3">
        <v>127</v>
      </c>
      <c r="F12" s="3">
        <v>1</v>
      </c>
      <c r="G12" s="3">
        <v>138</v>
      </c>
      <c r="H12" s="3">
        <v>12</v>
      </c>
      <c r="I12" s="3">
        <v>0</v>
      </c>
    </row>
    <row r="13" spans="1:14" x14ac:dyDescent="0.3">
      <c r="A13" s="3">
        <f t="shared" si="0"/>
        <v>12</v>
      </c>
      <c r="B13" s="3"/>
      <c r="C13" s="3">
        <v>138</v>
      </c>
      <c r="D13" s="3"/>
      <c r="E13" s="3">
        <v>138</v>
      </c>
      <c r="F13" s="3">
        <v>0</v>
      </c>
      <c r="G13" s="3">
        <v>147</v>
      </c>
      <c r="H13" s="3">
        <v>9</v>
      </c>
      <c r="I13" s="3">
        <v>0</v>
      </c>
    </row>
    <row r="14" spans="1:14" x14ac:dyDescent="0.3">
      <c r="A14" s="3">
        <f t="shared" si="0"/>
        <v>13</v>
      </c>
      <c r="B14" s="3"/>
      <c r="C14" s="3">
        <v>153</v>
      </c>
      <c r="D14" s="3"/>
      <c r="E14" s="3">
        <v>153</v>
      </c>
      <c r="F14" s="3">
        <v>0</v>
      </c>
      <c r="G14" s="3">
        <v>163</v>
      </c>
      <c r="H14" s="3">
        <v>10</v>
      </c>
      <c r="I14" s="3">
        <v>6</v>
      </c>
    </row>
    <row r="15" spans="1:14" x14ac:dyDescent="0.3">
      <c r="A15" s="3">
        <f t="shared" si="0"/>
        <v>14</v>
      </c>
      <c r="B15" s="3"/>
      <c r="C15" s="3">
        <v>165</v>
      </c>
      <c r="D15" s="3"/>
      <c r="E15" s="3">
        <v>165</v>
      </c>
      <c r="F15" s="3">
        <v>0</v>
      </c>
      <c r="G15" s="3">
        <v>174</v>
      </c>
      <c r="H15" s="3">
        <v>9</v>
      </c>
      <c r="I15" s="3">
        <v>2</v>
      </c>
    </row>
    <row r="16" spans="1:14" x14ac:dyDescent="0.3">
      <c r="A16" s="3">
        <f>1+A15</f>
        <v>15</v>
      </c>
      <c r="B16" s="3"/>
      <c r="C16" s="3">
        <v>177</v>
      </c>
      <c r="D16" s="3"/>
      <c r="E16" s="3">
        <v>177</v>
      </c>
      <c r="F16" s="3">
        <v>0</v>
      </c>
      <c r="G16" s="3">
        <v>188</v>
      </c>
      <c r="H16" s="3">
        <v>11</v>
      </c>
      <c r="I16" s="3">
        <v>3</v>
      </c>
    </row>
    <row r="17" spans="8:8" x14ac:dyDescent="0.3">
      <c r="H17" s="1">
        <f>SUM(H2:H16)</f>
        <v>152</v>
      </c>
    </row>
  </sheetData>
  <mergeCells count="8">
    <mergeCell ref="K10:L10"/>
    <mergeCell ref="L2:N2"/>
    <mergeCell ref="K4:L4"/>
    <mergeCell ref="M4:N4"/>
    <mergeCell ref="K6:L6"/>
    <mergeCell ref="M6:N6"/>
    <mergeCell ref="M8:N8"/>
    <mergeCell ref="K8:L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3E6F-0D96-48B2-B273-F79774F1E083}">
  <dimension ref="A1:H22"/>
  <sheetViews>
    <sheetView topLeftCell="A13" zoomScale="110" zoomScaleNormal="110" workbookViewId="0">
      <selection sqref="A1:H11"/>
    </sheetView>
  </sheetViews>
  <sheetFormatPr defaultColWidth="8.88671875" defaultRowHeight="13.8" x14ac:dyDescent="0.3"/>
  <cols>
    <col min="1" max="1" width="8.88671875" style="1"/>
    <col min="2" max="2" width="20.21875" style="1" customWidth="1"/>
    <col min="3" max="3" width="13.6640625" style="1" customWidth="1"/>
    <col min="4" max="4" width="12.88671875" style="1" customWidth="1"/>
    <col min="5" max="5" width="12.77734375" style="1" customWidth="1"/>
    <col min="6" max="6" width="16.77734375" style="1" customWidth="1"/>
    <col min="7" max="7" width="12" style="1" customWidth="1"/>
    <col min="8" max="8" width="14.77734375" style="1" customWidth="1"/>
    <col min="9" max="16384" width="8.88671875" style="1"/>
  </cols>
  <sheetData>
    <row r="1" spans="1:8" ht="41.4" x14ac:dyDescent="0.3">
      <c r="A1" s="2" t="s">
        <v>0</v>
      </c>
      <c r="B1" s="2" t="s">
        <v>15</v>
      </c>
      <c r="C1" s="2" t="s">
        <v>20</v>
      </c>
      <c r="D1" s="2" t="s">
        <v>16</v>
      </c>
      <c r="E1" s="2" t="s">
        <v>21</v>
      </c>
      <c r="F1" s="2" t="s">
        <v>17</v>
      </c>
      <c r="G1" s="2" t="s">
        <v>18</v>
      </c>
      <c r="H1" s="2" t="s">
        <v>19</v>
      </c>
    </row>
    <row r="2" spans="1:8" x14ac:dyDescent="0.3">
      <c r="A2" s="3">
        <f>1</f>
        <v>1</v>
      </c>
      <c r="B2" s="3">
        <v>6</v>
      </c>
      <c r="C2" s="3">
        <v>9</v>
      </c>
      <c r="D2" s="3">
        <f>B2</f>
        <v>6</v>
      </c>
      <c r="E2" s="6">
        <f>B2+C2</f>
        <v>15</v>
      </c>
      <c r="F2" s="3">
        <v>0</v>
      </c>
      <c r="G2" s="3">
        <v>9</v>
      </c>
      <c r="H2" s="3">
        <v>6</v>
      </c>
    </row>
    <row r="3" spans="1:8" x14ac:dyDescent="0.3">
      <c r="A3" s="3">
        <f>1+A2</f>
        <v>2</v>
      </c>
      <c r="B3" s="3">
        <v>24</v>
      </c>
      <c r="C3" s="3">
        <v>7.5</v>
      </c>
      <c r="D3" s="3">
        <f>B3</f>
        <v>24</v>
      </c>
      <c r="E3" s="6">
        <f>B3+C3</f>
        <v>31.5</v>
      </c>
      <c r="F3" s="3">
        <v>0</v>
      </c>
      <c r="G3" s="3">
        <f>C3</f>
        <v>7.5</v>
      </c>
      <c r="H3" s="3">
        <f>B3-E2</f>
        <v>9</v>
      </c>
    </row>
    <row r="4" spans="1:8" x14ac:dyDescent="0.3">
      <c r="A4" s="3">
        <f t="shared" ref="A4:A11" si="0">1+A3</f>
        <v>3</v>
      </c>
      <c r="B4" s="3">
        <v>26</v>
      </c>
      <c r="C4" s="3">
        <v>10</v>
      </c>
      <c r="D4" s="3">
        <f>E3</f>
        <v>31.5</v>
      </c>
      <c r="E4" s="6">
        <f t="shared" ref="E4:E11" si="1">D4+C4</f>
        <v>41.5</v>
      </c>
      <c r="F4" s="3">
        <f>E3-B4</f>
        <v>5.5</v>
      </c>
      <c r="G4" s="3">
        <f t="shared" ref="G4:G11" si="2">C4+F4</f>
        <v>15.5</v>
      </c>
      <c r="H4" s="3">
        <v>0</v>
      </c>
    </row>
    <row r="5" spans="1:8" x14ac:dyDescent="0.3">
      <c r="A5" s="3">
        <f t="shared" si="0"/>
        <v>4</v>
      </c>
      <c r="B5" s="3">
        <v>35</v>
      </c>
      <c r="C5" s="3">
        <v>6.5</v>
      </c>
      <c r="D5" s="3">
        <f>E4</f>
        <v>41.5</v>
      </c>
      <c r="E5" s="6">
        <f t="shared" si="1"/>
        <v>48</v>
      </c>
      <c r="F5" s="3">
        <f>E4-B5</f>
        <v>6.5</v>
      </c>
      <c r="G5" s="3">
        <f t="shared" si="2"/>
        <v>13</v>
      </c>
      <c r="H5" s="3">
        <v>0</v>
      </c>
    </row>
    <row r="6" spans="1:8" x14ac:dyDescent="0.3">
      <c r="A6" s="3">
        <f t="shared" si="0"/>
        <v>5</v>
      </c>
      <c r="B6" s="3">
        <v>44</v>
      </c>
      <c r="C6" s="3">
        <v>6</v>
      </c>
      <c r="D6" s="3">
        <f>E5</f>
        <v>48</v>
      </c>
      <c r="E6" s="6">
        <f t="shared" si="1"/>
        <v>54</v>
      </c>
      <c r="F6" s="3">
        <f>E5-B6</f>
        <v>4</v>
      </c>
      <c r="G6" s="3">
        <f t="shared" si="2"/>
        <v>10</v>
      </c>
      <c r="H6" s="3">
        <v>0</v>
      </c>
    </row>
    <row r="7" spans="1:8" x14ac:dyDescent="0.3">
      <c r="A7" s="3">
        <f t="shared" si="0"/>
        <v>6</v>
      </c>
      <c r="B7" s="3">
        <v>52</v>
      </c>
      <c r="C7" s="3">
        <v>5</v>
      </c>
      <c r="D7" s="3">
        <f>E6</f>
        <v>54</v>
      </c>
      <c r="E7" s="6">
        <f t="shared" si="1"/>
        <v>59</v>
      </c>
      <c r="F7" s="3">
        <f>E6-B7</f>
        <v>2</v>
      </c>
      <c r="G7" s="3">
        <f t="shared" si="2"/>
        <v>7</v>
      </c>
      <c r="H7" s="3">
        <v>0</v>
      </c>
    </row>
    <row r="8" spans="1:8" x14ac:dyDescent="0.3">
      <c r="A8" s="3">
        <f t="shared" si="0"/>
        <v>7</v>
      </c>
      <c r="B8" s="3">
        <v>58</v>
      </c>
      <c r="C8" s="3">
        <v>9</v>
      </c>
      <c r="D8" s="3">
        <f>E7</f>
        <v>59</v>
      </c>
      <c r="E8" s="6">
        <f t="shared" si="1"/>
        <v>68</v>
      </c>
      <c r="F8" s="3">
        <f>E7-B8</f>
        <v>1</v>
      </c>
      <c r="G8" s="3">
        <f t="shared" si="2"/>
        <v>10</v>
      </c>
      <c r="H8" s="3">
        <v>0</v>
      </c>
    </row>
    <row r="9" spans="1:8" x14ac:dyDescent="0.3">
      <c r="A9" s="3">
        <f t="shared" si="0"/>
        <v>8</v>
      </c>
      <c r="B9" s="3">
        <v>70</v>
      </c>
      <c r="C9" s="3">
        <v>7.5</v>
      </c>
      <c r="D9" s="3">
        <v>70</v>
      </c>
      <c r="E9" s="6">
        <f t="shared" si="1"/>
        <v>77.5</v>
      </c>
      <c r="F9" s="3">
        <v>0</v>
      </c>
      <c r="G9" s="3">
        <f t="shared" si="2"/>
        <v>7.5</v>
      </c>
      <c r="H9" s="3">
        <f>B9-E8</f>
        <v>2</v>
      </c>
    </row>
    <row r="10" spans="1:8" x14ac:dyDescent="0.3">
      <c r="A10" s="3">
        <f t="shared" si="0"/>
        <v>9</v>
      </c>
      <c r="B10" s="3">
        <v>77</v>
      </c>
      <c r="C10" s="3">
        <v>6.5</v>
      </c>
      <c r="D10" s="3">
        <f>E9</f>
        <v>77.5</v>
      </c>
      <c r="E10" s="6">
        <f t="shared" si="1"/>
        <v>84</v>
      </c>
      <c r="F10" s="3">
        <f>E9-B10</f>
        <v>0.5</v>
      </c>
      <c r="G10" s="3">
        <f t="shared" si="2"/>
        <v>7</v>
      </c>
      <c r="H10" s="3">
        <v>0</v>
      </c>
    </row>
    <row r="11" spans="1:8" x14ac:dyDescent="0.3">
      <c r="A11" s="3">
        <f t="shared" si="0"/>
        <v>10</v>
      </c>
      <c r="B11" s="3">
        <v>89</v>
      </c>
      <c r="C11" s="3">
        <v>11</v>
      </c>
      <c r="D11" s="3">
        <f>B11</f>
        <v>89</v>
      </c>
      <c r="E11" s="6">
        <f t="shared" si="1"/>
        <v>100</v>
      </c>
      <c r="F11" s="3">
        <v>0</v>
      </c>
      <c r="G11" s="3">
        <f t="shared" si="2"/>
        <v>11</v>
      </c>
      <c r="H11" s="3">
        <f>B11-E10</f>
        <v>5</v>
      </c>
    </row>
    <row r="14" spans="1:8" x14ac:dyDescent="0.3">
      <c r="B14" s="7" t="s">
        <v>22</v>
      </c>
      <c r="C14" s="3">
        <f>SUM(F2:F11)/A11</f>
        <v>1.95</v>
      </c>
      <c r="D14" s="1" t="s">
        <v>14</v>
      </c>
    </row>
    <row r="16" spans="1:8" ht="27.6" x14ac:dyDescent="0.3">
      <c r="B16" s="7" t="s">
        <v>23</v>
      </c>
      <c r="C16" s="8">
        <f>6/10</f>
        <v>0.6</v>
      </c>
    </row>
    <row r="18" spans="2:4" ht="27.6" x14ac:dyDescent="0.3">
      <c r="B18" s="7" t="s">
        <v>24</v>
      </c>
      <c r="C18" s="8">
        <f>SUM(H2:H11)/E11</f>
        <v>0.22</v>
      </c>
    </row>
    <row r="20" spans="2:4" ht="27.6" x14ac:dyDescent="0.3">
      <c r="B20" s="7" t="s">
        <v>25</v>
      </c>
      <c r="C20" s="3">
        <f>SUM(C2:C11)/A11</f>
        <v>7.8</v>
      </c>
      <c r="D20" s="1" t="s">
        <v>14</v>
      </c>
    </row>
    <row r="22" spans="2:4" ht="41.4" x14ac:dyDescent="0.3">
      <c r="B22" s="7" t="s">
        <v>26</v>
      </c>
      <c r="C22" s="3">
        <f>SUM(G2:G11)/10</f>
        <v>9.75</v>
      </c>
      <c r="D22" s="1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5A1D-B396-457F-93DA-7EDA3F05E81C}">
  <dimension ref="A1:G22"/>
  <sheetViews>
    <sheetView workbookViewId="0">
      <selection activeCell="D2" sqref="D2:E22"/>
    </sheetView>
  </sheetViews>
  <sheetFormatPr defaultColWidth="8.88671875" defaultRowHeight="13.8" x14ac:dyDescent="0.3"/>
  <cols>
    <col min="1" max="1" width="11.33203125" style="1" customWidth="1"/>
    <col min="2" max="2" width="10.33203125" style="1" customWidth="1"/>
    <col min="3" max="3" width="15.33203125" style="1" customWidth="1"/>
    <col min="4" max="4" width="13.77734375" style="1" customWidth="1"/>
    <col min="5" max="5" width="13" style="1" customWidth="1"/>
    <col min="6" max="6" width="11.33203125" style="1" customWidth="1"/>
    <col min="7" max="7" width="17.6640625" style="1" customWidth="1"/>
    <col min="8" max="16384" width="8.88671875" style="1"/>
  </cols>
  <sheetData>
    <row r="1" spans="1:7" ht="41.4" x14ac:dyDescent="0.3">
      <c r="A1" s="2" t="s">
        <v>30</v>
      </c>
      <c r="B1" s="2" t="s">
        <v>28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x14ac:dyDescent="0.3">
      <c r="A2" s="3">
        <v>0</v>
      </c>
      <c r="B2" s="3" t="s">
        <v>36</v>
      </c>
      <c r="C2" s="9" t="s">
        <v>40</v>
      </c>
      <c r="D2" s="3">
        <v>0</v>
      </c>
      <c r="E2" s="3">
        <v>0</v>
      </c>
      <c r="F2" s="3" t="s">
        <v>29</v>
      </c>
      <c r="G2" s="3" t="s">
        <v>36</v>
      </c>
    </row>
    <row r="3" spans="1:7" x14ac:dyDescent="0.3">
      <c r="A3" s="10">
        <v>6</v>
      </c>
      <c r="B3" s="47">
        <v>1</v>
      </c>
      <c r="C3" s="10" t="s">
        <v>38</v>
      </c>
      <c r="D3" s="10">
        <v>0</v>
      </c>
      <c r="E3" s="10">
        <v>1</v>
      </c>
      <c r="F3" s="10" t="s">
        <v>37</v>
      </c>
      <c r="G3" s="10">
        <v>9</v>
      </c>
    </row>
    <row r="4" spans="1:7" x14ac:dyDescent="0.3">
      <c r="A4" s="3">
        <v>15</v>
      </c>
      <c r="B4" s="47"/>
      <c r="C4" s="3" t="s">
        <v>39</v>
      </c>
      <c r="D4" s="3">
        <v>0</v>
      </c>
      <c r="E4" s="3">
        <v>0</v>
      </c>
      <c r="F4" s="3" t="s">
        <v>29</v>
      </c>
      <c r="G4" s="3" t="s">
        <v>36</v>
      </c>
    </row>
    <row r="5" spans="1:7" x14ac:dyDescent="0.3">
      <c r="A5" s="10">
        <v>24</v>
      </c>
      <c r="B5" s="47">
        <v>2</v>
      </c>
      <c r="C5" s="10" t="s">
        <v>38</v>
      </c>
      <c r="D5" s="10">
        <v>0</v>
      </c>
      <c r="E5" s="10">
        <v>1</v>
      </c>
      <c r="F5" s="10" t="s">
        <v>37</v>
      </c>
      <c r="G5" s="10">
        <v>7.5</v>
      </c>
    </row>
    <row r="6" spans="1:7" x14ac:dyDescent="0.3">
      <c r="A6" s="3">
        <f>A5+7.5</f>
        <v>31.5</v>
      </c>
      <c r="B6" s="47"/>
      <c r="C6" s="3" t="s">
        <v>39</v>
      </c>
      <c r="D6" s="3">
        <v>1</v>
      </c>
      <c r="E6" s="3">
        <v>0</v>
      </c>
      <c r="F6" s="3" t="s">
        <v>29</v>
      </c>
      <c r="G6" s="3" t="s">
        <v>36</v>
      </c>
    </row>
    <row r="7" spans="1:7" x14ac:dyDescent="0.3">
      <c r="A7" s="10">
        <v>26</v>
      </c>
      <c r="B7" s="47">
        <v>3</v>
      </c>
      <c r="C7" s="10" t="s">
        <v>38</v>
      </c>
      <c r="D7" s="10">
        <v>0</v>
      </c>
      <c r="E7" s="10">
        <v>1</v>
      </c>
      <c r="F7" s="10" t="s">
        <v>37</v>
      </c>
      <c r="G7" s="10">
        <v>10</v>
      </c>
    </row>
    <row r="8" spans="1:7" x14ac:dyDescent="0.3">
      <c r="A8" s="3">
        <f>A6+10</f>
        <v>41.5</v>
      </c>
      <c r="B8" s="47"/>
      <c r="C8" s="3" t="s">
        <v>39</v>
      </c>
      <c r="D8" s="3">
        <v>1</v>
      </c>
      <c r="E8" s="3">
        <v>0</v>
      </c>
      <c r="F8" s="3" t="s">
        <v>29</v>
      </c>
      <c r="G8" s="3" t="s">
        <v>36</v>
      </c>
    </row>
    <row r="9" spans="1:7" x14ac:dyDescent="0.3">
      <c r="A9" s="10">
        <v>35</v>
      </c>
      <c r="B9" s="47">
        <v>4</v>
      </c>
      <c r="C9" s="10" t="s">
        <v>38</v>
      </c>
      <c r="D9" s="10">
        <v>0</v>
      </c>
      <c r="E9" s="10">
        <v>1</v>
      </c>
      <c r="F9" s="10" t="s">
        <v>37</v>
      </c>
      <c r="G9" s="10">
        <v>6.5</v>
      </c>
    </row>
    <row r="10" spans="1:7" x14ac:dyDescent="0.3">
      <c r="A10" s="3">
        <f>A8+6.5</f>
        <v>48</v>
      </c>
      <c r="B10" s="47"/>
      <c r="C10" s="3" t="s">
        <v>39</v>
      </c>
      <c r="D10" s="3">
        <v>1</v>
      </c>
      <c r="E10" s="3">
        <v>0</v>
      </c>
      <c r="F10" s="3" t="s">
        <v>29</v>
      </c>
      <c r="G10" s="3" t="s">
        <v>36</v>
      </c>
    </row>
    <row r="11" spans="1:7" x14ac:dyDescent="0.3">
      <c r="A11" s="10">
        <v>44</v>
      </c>
      <c r="B11" s="47">
        <v>5</v>
      </c>
      <c r="C11" s="10" t="s">
        <v>38</v>
      </c>
      <c r="D11" s="10">
        <v>0</v>
      </c>
      <c r="E11" s="10">
        <v>1</v>
      </c>
      <c r="F11" s="10" t="s">
        <v>37</v>
      </c>
      <c r="G11" s="10">
        <v>6</v>
      </c>
    </row>
    <row r="12" spans="1:7" x14ac:dyDescent="0.3">
      <c r="A12" s="3">
        <f>A10+6</f>
        <v>54</v>
      </c>
      <c r="B12" s="47"/>
      <c r="C12" s="3" t="s">
        <v>39</v>
      </c>
      <c r="D12" s="3">
        <v>1</v>
      </c>
      <c r="E12" s="3">
        <v>0</v>
      </c>
      <c r="F12" s="3" t="s">
        <v>29</v>
      </c>
      <c r="G12" s="3" t="s">
        <v>36</v>
      </c>
    </row>
    <row r="13" spans="1:7" x14ac:dyDescent="0.3">
      <c r="A13" s="10">
        <v>52</v>
      </c>
      <c r="B13" s="47">
        <v>6</v>
      </c>
      <c r="C13" s="10" t="s">
        <v>38</v>
      </c>
      <c r="D13" s="10">
        <v>0</v>
      </c>
      <c r="E13" s="10">
        <v>1</v>
      </c>
      <c r="F13" s="10" t="s">
        <v>37</v>
      </c>
      <c r="G13" s="10">
        <v>5</v>
      </c>
    </row>
    <row r="14" spans="1:7" x14ac:dyDescent="0.3">
      <c r="A14" s="3">
        <f>A12+5</f>
        <v>59</v>
      </c>
      <c r="B14" s="47"/>
      <c r="C14" s="3" t="s">
        <v>39</v>
      </c>
      <c r="D14" s="3">
        <v>1</v>
      </c>
      <c r="E14" s="3">
        <v>0</v>
      </c>
      <c r="F14" s="3" t="s">
        <v>29</v>
      </c>
      <c r="G14" s="3" t="s">
        <v>36</v>
      </c>
    </row>
    <row r="15" spans="1:7" x14ac:dyDescent="0.3">
      <c r="A15" s="10">
        <v>58</v>
      </c>
      <c r="B15" s="47">
        <v>7</v>
      </c>
      <c r="C15" s="10" t="s">
        <v>38</v>
      </c>
      <c r="D15" s="10">
        <v>0</v>
      </c>
      <c r="E15" s="10">
        <v>1</v>
      </c>
      <c r="F15" s="10" t="s">
        <v>37</v>
      </c>
      <c r="G15" s="10">
        <v>9</v>
      </c>
    </row>
    <row r="16" spans="1:7" x14ac:dyDescent="0.3">
      <c r="A16" s="3">
        <f>A14+9</f>
        <v>68</v>
      </c>
      <c r="B16" s="47"/>
      <c r="C16" s="3" t="s">
        <v>39</v>
      </c>
      <c r="D16" s="3">
        <v>0</v>
      </c>
      <c r="E16" s="3">
        <v>0</v>
      </c>
      <c r="F16" s="3" t="s">
        <v>29</v>
      </c>
      <c r="G16" s="3" t="s">
        <v>36</v>
      </c>
    </row>
    <row r="17" spans="1:7" x14ac:dyDescent="0.3">
      <c r="A17" s="10">
        <v>70</v>
      </c>
      <c r="B17" s="47">
        <v>8</v>
      </c>
      <c r="C17" s="10" t="s">
        <v>38</v>
      </c>
      <c r="D17" s="10">
        <v>0</v>
      </c>
      <c r="E17" s="10">
        <v>1</v>
      </c>
      <c r="F17" s="10" t="s">
        <v>37</v>
      </c>
      <c r="G17" s="10">
        <v>7.5</v>
      </c>
    </row>
    <row r="18" spans="1:7" x14ac:dyDescent="0.3">
      <c r="A18" s="3">
        <f>A16+7.5</f>
        <v>75.5</v>
      </c>
      <c r="B18" s="47"/>
      <c r="C18" s="3" t="s">
        <v>39</v>
      </c>
      <c r="D18" s="3">
        <v>0</v>
      </c>
      <c r="E18" s="3">
        <v>0</v>
      </c>
      <c r="F18" s="3" t="s">
        <v>29</v>
      </c>
      <c r="G18" s="3" t="s">
        <v>36</v>
      </c>
    </row>
    <row r="19" spans="1:7" x14ac:dyDescent="0.3">
      <c r="A19" s="10">
        <v>77</v>
      </c>
      <c r="B19" s="47">
        <v>9</v>
      </c>
      <c r="C19" s="10" t="s">
        <v>38</v>
      </c>
      <c r="D19" s="10">
        <v>0</v>
      </c>
      <c r="E19" s="10">
        <v>1</v>
      </c>
      <c r="F19" s="10" t="s">
        <v>37</v>
      </c>
      <c r="G19" s="10">
        <v>6.5</v>
      </c>
    </row>
    <row r="20" spans="1:7" x14ac:dyDescent="0.3">
      <c r="A20" s="3">
        <f>A18+6.5</f>
        <v>82</v>
      </c>
      <c r="B20" s="47"/>
      <c r="C20" s="3" t="s">
        <v>39</v>
      </c>
      <c r="D20" s="3">
        <v>0</v>
      </c>
      <c r="E20" s="3">
        <v>0</v>
      </c>
      <c r="F20" s="3" t="s">
        <v>29</v>
      </c>
      <c r="G20" s="3" t="s">
        <v>36</v>
      </c>
    </row>
    <row r="21" spans="1:7" x14ac:dyDescent="0.3">
      <c r="A21" s="10">
        <v>89</v>
      </c>
      <c r="B21" s="47">
        <v>10</v>
      </c>
      <c r="C21" s="10" t="s">
        <v>38</v>
      </c>
      <c r="D21" s="10">
        <v>0</v>
      </c>
      <c r="E21" s="10">
        <v>1</v>
      </c>
      <c r="F21" s="10" t="s">
        <v>37</v>
      </c>
      <c r="G21" s="10">
        <v>11</v>
      </c>
    </row>
    <row r="22" spans="1:7" x14ac:dyDescent="0.3">
      <c r="A22" s="3">
        <f>A20+11</f>
        <v>93</v>
      </c>
      <c r="B22" s="47"/>
      <c r="C22" s="3" t="s">
        <v>39</v>
      </c>
      <c r="D22" s="3">
        <v>0</v>
      </c>
      <c r="E22" s="3">
        <v>0</v>
      </c>
      <c r="F22" s="3" t="s">
        <v>29</v>
      </c>
      <c r="G22" s="3" t="s">
        <v>36</v>
      </c>
    </row>
  </sheetData>
  <mergeCells count="10">
    <mergeCell ref="B15:B16"/>
    <mergeCell ref="B17:B18"/>
    <mergeCell ref="B19:B20"/>
    <mergeCell ref="B21:B22"/>
    <mergeCell ref="B3:B4"/>
    <mergeCell ref="B5:B6"/>
    <mergeCell ref="B7:B8"/>
    <mergeCell ref="B9:B10"/>
    <mergeCell ref="B11:B12"/>
    <mergeCell ref="B13:B1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F8F0-9343-4552-973E-23710E857DEE}">
  <dimension ref="A1:J27"/>
  <sheetViews>
    <sheetView zoomScale="85" zoomScaleNormal="85" workbookViewId="0">
      <selection activeCell="G28" sqref="G28"/>
    </sheetView>
  </sheetViews>
  <sheetFormatPr defaultRowHeight="14.4" x14ac:dyDescent="0.3"/>
  <cols>
    <col min="1" max="1" width="11.109375" customWidth="1"/>
    <col min="2" max="2" width="11" customWidth="1"/>
    <col min="3" max="3" width="16.88671875" customWidth="1"/>
    <col min="4" max="4" width="13.33203125" customWidth="1"/>
    <col min="5" max="5" width="15.33203125" customWidth="1"/>
    <col min="6" max="6" width="22" customWidth="1"/>
    <col min="7" max="7" width="14.6640625" customWidth="1"/>
    <col min="8" max="8" width="16.6640625" customWidth="1"/>
    <col min="9" max="9" width="16.44140625" customWidth="1"/>
  </cols>
  <sheetData>
    <row r="1" spans="1:9" ht="38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46</v>
      </c>
      <c r="F1" s="2" t="s">
        <v>4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11">
        <v>1.0416666666666666E-2</v>
      </c>
      <c r="C2" s="11">
        <v>0.38541666666666669</v>
      </c>
      <c r="D2" s="11">
        <v>7.6388888888888886E-3</v>
      </c>
      <c r="E2" s="11">
        <v>0</v>
      </c>
      <c r="F2" s="11">
        <f>SUM(C2,E2)</f>
        <v>0.38541666666666669</v>
      </c>
      <c r="G2" s="11">
        <f t="shared" ref="G2:G16" si="0">SUM(F2,D2)</f>
        <v>0.39305555555555555</v>
      </c>
      <c r="H2" s="11">
        <f t="shared" ref="H2:H16" si="1">SUM(E2,D2)</f>
        <v>7.6388888888888886E-3</v>
      </c>
      <c r="I2" s="11">
        <v>1.0416666666666666E-2</v>
      </c>
    </row>
    <row r="3" spans="1:9" x14ac:dyDescent="0.3">
      <c r="A3" s="3">
        <f>1+A2</f>
        <v>2</v>
      </c>
      <c r="B3" s="11">
        <v>8.3333333333333332E-3</v>
      </c>
      <c r="C3" s="11">
        <f t="shared" ref="C3:C16" si="2">SUM(C2,B3)</f>
        <v>0.39375000000000004</v>
      </c>
      <c r="D3" s="11">
        <v>6.9444444444444441E-3</v>
      </c>
      <c r="E3" s="11">
        <v>0</v>
      </c>
      <c r="F3" s="11">
        <f t="shared" ref="F3:F16" si="3">SUM(C3,E3)</f>
        <v>0.39375000000000004</v>
      </c>
      <c r="G3" s="11">
        <f t="shared" si="0"/>
        <v>0.40069444444444446</v>
      </c>
      <c r="H3" s="11">
        <f t="shared" si="1"/>
        <v>6.9444444444444441E-3</v>
      </c>
      <c r="I3" s="11">
        <f t="shared" ref="I3:I16" si="4">SUM(F3-G2)</f>
        <v>6.9444444444449749E-4</v>
      </c>
    </row>
    <row r="4" spans="1:9" x14ac:dyDescent="0.3">
      <c r="A4" s="3">
        <f t="shared" ref="A4:A15" si="5">1+A3</f>
        <v>3</v>
      </c>
      <c r="B4" s="11">
        <v>6.9444444444444441E-3</v>
      </c>
      <c r="C4" s="11">
        <f t="shared" si="2"/>
        <v>0.40069444444444446</v>
      </c>
      <c r="D4" s="11">
        <v>6.2500000000000003E-3</v>
      </c>
      <c r="E4" s="11">
        <v>0</v>
      </c>
      <c r="F4" s="11">
        <f t="shared" si="3"/>
        <v>0.40069444444444446</v>
      </c>
      <c r="G4" s="11">
        <f t="shared" si="0"/>
        <v>0.40694444444444444</v>
      </c>
      <c r="H4" s="11">
        <f t="shared" si="1"/>
        <v>6.2500000000000003E-3</v>
      </c>
      <c r="I4" s="11">
        <f t="shared" si="4"/>
        <v>0</v>
      </c>
    </row>
    <row r="5" spans="1:9" x14ac:dyDescent="0.3">
      <c r="A5" s="3">
        <f t="shared" si="5"/>
        <v>4</v>
      </c>
      <c r="B5" s="11">
        <v>6.9444444444444441E-3</v>
      </c>
      <c r="C5" s="11">
        <f t="shared" si="2"/>
        <v>0.40763888888888888</v>
      </c>
      <c r="D5" s="11">
        <v>6.9444444444444441E-3</v>
      </c>
      <c r="E5" s="11">
        <f t="shared" ref="E5:E16" si="6">IF(G4-C5 &lt; 0, 0, G4-C5)</f>
        <v>0</v>
      </c>
      <c r="F5" s="11">
        <f t="shared" si="3"/>
        <v>0.40763888888888888</v>
      </c>
      <c r="G5" s="11">
        <f t="shared" si="0"/>
        <v>0.4145833333333333</v>
      </c>
      <c r="H5" s="11">
        <f t="shared" si="1"/>
        <v>6.9444444444444441E-3</v>
      </c>
      <c r="I5" s="11">
        <f t="shared" si="4"/>
        <v>6.9444444444444198E-4</v>
      </c>
    </row>
    <row r="6" spans="1:9" x14ac:dyDescent="0.3">
      <c r="A6" s="3">
        <f t="shared" si="5"/>
        <v>5</v>
      </c>
      <c r="B6" s="11">
        <v>8.3333333333333332E-3</v>
      </c>
      <c r="C6" s="11">
        <f t="shared" si="2"/>
        <v>0.41597222222222224</v>
      </c>
      <c r="D6" s="11">
        <v>6.2500000000000003E-3</v>
      </c>
      <c r="E6" s="11">
        <f t="shared" si="6"/>
        <v>0</v>
      </c>
      <c r="F6" s="11">
        <f t="shared" si="3"/>
        <v>0.41597222222222224</v>
      </c>
      <c r="G6" s="11">
        <f t="shared" si="0"/>
        <v>0.42222222222222222</v>
      </c>
      <c r="H6" s="11">
        <f t="shared" si="1"/>
        <v>6.2500000000000003E-3</v>
      </c>
      <c r="I6" s="11">
        <f t="shared" si="4"/>
        <v>1.3888888888889395E-3</v>
      </c>
    </row>
    <row r="7" spans="1:9" x14ac:dyDescent="0.3">
      <c r="A7" s="3">
        <f t="shared" si="5"/>
        <v>6</v>
      </c>
      <c r="B7" s="11">
        <v>1.0416666666666666E-2</v>
      </c>
      <c r="C7" s="11">
        <f t="shared" si="2"/>
        <v>0.42638888888888893</v>
      </c>
      <c r="D7" s="11">
        <v>6.9444444444444441E-3</v>
      </c>
      <c r="E7" s="11">
        <f t="shared" si="6"/>
        <v>0</v>
      </c>
      <c r="F7" s="11">
        <f t="shared" si="3"/>
        <v>0.42638888888888893</v>
      </c>
      <c r="G7" s="11">
        <f t="shared" si="0"/>
        <v>0.43333333333333335</v>
      </c>
      <c r="H7" s="11">
        <f t="shared" si="1"/>
        <v>6.9444444444444441E-3</v>
      </c>
      <c r="I7" s="11">
        <f t="shared" si="4"/>
        <v>4.1666666666667074E-3</v>
      </c>
    </row>
    <row r="8" spans="1:9" x14ac:dyDescent="0.3">
      <c r="A8" s="3">
        <f t="shared" si="5"/>
        <v>7</v>
      </c>
      <c r="B8" s="11">
        <v>6.9444444444444441E-3</v>
      </c>
      <c r="C8" s="11">
        <f t="shared" si="2"/>
        <v>0.43333333333333335</v>
      </c>
      <c r="D8" s="11">
        <v>7.6388888888888886E-3</v>
      </c>
      <c r="E8" s="11">
        <f t="shared" si="6"/>
        <v>0</v>
      </c>
      <c r="F8" s="11">
        <f t="shared" si="3"/>
        <v>0.43333333333333335</v>
      </c>
      <c r="G8" s="11">
        <f t="shared" si="0"/>
        <v>0.44097222222222221</v>
      </c>
      <c r="H8" s="11">
        <f t="shared" si="1"/>
        <v>7.6388888888888886E-3</v>
      </c>
      <c r="I8" s="11">
        <f t="shared" si="4"/>
        <v>0</v>
      </c>
    </row>
    <row r="9" spans="1:9" x14ac:dyDescent="0.3">
      <c r="A9" s="3">
        <f t="shared" si="5"/>
        <v>8</v>
      </c>
      <c r="B9" s="11">
        <v>8.3333333333333332E-3</v>
      </c>
      <c r="C9" s="11">
        <f t="shared" si="2"/>
        <v>0.44166666666666671</v>
      </c>
      <c r="D9" s="11">
        <v>6.2500000000000003E-3</v>
      </c>
      <c r="E9" s="11">
        <f t="shared" si="6"/>
        <v>0</v>
      </c>
      <c r="F9" s="11">
        <f t="shared" si="3"/>
        <v>0.44166666666666671</v>
      </c>
      <c r="G9" s="11">
        <f t="shared" si="0"/>
        <v>0.44791666666666669</v>
      </c>
      <c r="H9" s="11">
        <f t="shared" si="1"/>
        <v>6.2500000000000003E-3</v>
      </c>
      <c r="I9" s="11">
        <f t="shared" si="4"/>
        <v>6.9444444444449749E-4</v>
      </c>
    </row>
    <row r="10" spans="1:9" x14ac:dyDescent="0.3">
      <c r="A10" s="3">
        <f t="shared" si="5"/>
        <v>9</v>
      </c>
      <c r="B10" s="11">
        <v>6.9444444444444441E-3</v>
      </c>
      <c r="C10" s="11">
        <f t="shared" si="2"/>
        <v>0.44861111111111113</v>
      </c>
      <c r="D10" s="11">
        <v>7.6388888888888886E-3</v>
      </c>
      <c r="E10" s="11">
        <f t="shared" si="6"/>
        <v>0</v>
      </c>
      <c r="F10" s="11">
        <f t="shared" si="3"/>
        <v>0.44861111111111113</v>
      </c>
      <c r="G10" s="11">
        <f t="shared" si="0"/>
        <v>0.45624999999999999</v>
      </c>
      <c r="H10" s="11">
        <f t="shared" si="1"/>
        <v>7.6388888888888886E-3</v>
      </c>
      <c r="I10" s="11">
        <f t="shared" si="4"/>
        <v>6.9444444444444198E-4</v>
      </c>
    </row>
    <row r="11" spans="1:9" x14ac:dyDescent="0.3">
      <c r="A11" s="3">
        <f t="shared" si="5"/>
        <v>10</v>
      </c>
      <c r="B11" s="11">
        <v>6.9444444444444441E-3</v>
      </c>
      <c r="C11" s="11">
        <f t="shared" si="2"/>
        <v>0.45555555555555555</v>
      </c>
      <c r="D11" s="11">
        <v>6.9444444444444441E-3</v>
      </c>
      <c r="E11" s="11">
        <f t="shared" si="6"/>
        <v>6.9444444444444198E-4</v>
      </c>
      <c r="F11" s="11">
        <f t="shared" si="3"/>
        <v>0.45624999999999999</v>
      </c>
      <c r="G11" s="11">
        <f t="shared" si="0"/>
        <v>0.46319444444444441</v>
      </c>
      <c r="H11" s="11">
        <f t="shared" si="1"/>
        <v>7.638888888888886E-3</v>
      </c>
      <c r="I11" s="11">
        <f t="shared" si="4"/>
        <v>0</v>
      </c>
    </row>
    <row r="12" spans="1:9" x14ac:dyDescent="0.3">
      <c r="A12" s="3">
        <f t="shared" si="5"/>
        <v>11</v>
      </c>
      <c r="B12" s="11">
        <v>6.9444444444444441E-3</v>
      </c>
      <c r="C12" s="11">
        <f t="shared" si="2"/>
        <v>0.46249999999999997</v>
      </c>
      <c r="D12" s="11">
        <v>7.6388888888888886E-3</v>
      </c>
      <c r="E12" s="11">
        <f t="shared" si="6"/>
        <v>6.9444444444444198E-4</v>
      </c>
      <c r="F12" s="11">
        <f t="shared" si="3"/>
        <v>0.46319444444444441</v>
      </c>
      <c r="G12" s="11">
        <f t="shared" si="0"/>
        <v>0.47083333333333327</v>
      </c>
      <c r="H12" s="11">
        <f t="shared" si="1"/>
        <v>8.3333333333333315E-3</v>
      </c>
      <c r="I12" s="11">
        <f t="shared" si="4"/>
        <v>0</v>
      </c>
    </row>
    <row r="13" spans="1:9" x14ac:dyDescent="0.3">
      <c r="A13" s="3">
        <f t="shared" si="5"/>
        <v>12</v>
      </c>
      <c r="B13" s="11">
        <v>8.3333333333333332E-3</v>
      </c>
      <c r="C13" s="11">
        <f t="shared" si="2"/>
        <v>0.47083333333333333</v>
      </c>
      <c r="D13" s="11">
        <v>6.2500000000000003E-3</v>
      </c>
      <c r="E13" s="11">
        <f t="shared" si="6"/>
        <v>0</v>
      </c>
      <c r="F13" s="11">
        <f t="shared" si="3"/>
        <v>0.47083333333333333</v>
      </c>
      <c r="G13" s="11">
        <f t="shared" si="0"/>
        <v>0.4770833333333333</v>
      </c>
      <c r="H13" s="11">
        <f t="shared" si="1"/>
        <v>6.2500000000000003E-3</v>
      </c>
      <c r="I13" s="11">
        <f t="shared" si="4"/>
        <v>5.5511151231257827E-17</v>
      </c>
    </row>
    <row r="14" spans="1:9" x14ac:dyDescent="0.3">
      <c r="A14" s="3">
        <f t="shared" si="5"/>
        <v>13</v>
      </c>
      <c r="B14" s="11">
        <v>1.0416666666666666E-2</v>
      </c>
      <c r="C14" s="11">
        <f t="shared" si="2"/>
        <v>0.48125000000000001</v>
      </c>
      <c r="D14" s="11">
        <v>6.9444444444444441E-3</v>
      </c>
      <c r="E14" s="11">
        <f t="shared" si="6"/>
        <v>0</v>
      </c>
      <c r="F14" s="11">
        <f t="shared" si="3"/>
        <v>0.48125000000000001</v>
      </c>
      <c r="G14" s="11">
        <f t="shared" si="0"/>
        <v>0.48819444444444443</v>
      </c>
      <c r="H14" s="11">
        <f t="shared" si="1"/>
        <v>6.9444444444444441E-3</v>
      </c>
      <c r="I14" s="11">
        <f t="shared" si="4"/>
        <v>4.1666666666667074E-3</v>
      </c>
    </row>
    <row r="15" spans="1:9" x14ac:dyDescent="0.3">
      <c r="A15" s="3">
        <f t="shared" si="5"/>
        <v>14</v>
      </c>
      <c r="B15" s="11">
        <v>8.3333333333333332E-3</v>
      </c>
      <c r="C15" s="11">
        <f t="shared" si="2"/>
        <v>0.48958333333333337</v>
      </c>
      <c r="D15" s="11">
        <v>6.2500000000000003E-3</v>
      </c>
      <c r="E15" s="11">
        <f t="shared" si="6"/>
        <v>0</v>
      </c>
      <c r="F15" s="11">
        <f t="shared" si="3"/>
        <v>0.48958333333333337</v>
      </c>
      <c r="G15" s="11">
        <f t="shared" si="0"/>
        <v>0.49583333333333335</v>
      </c>
      <c r="H15" s="11">
        <f t="shared" si="1"/>
        <v>6.2500000000000003E-3</v>
      </c>
      <c r="I15" s="11">
        <f t="shared" si="4"/>
        <v>1.3888888888889395E-3</v>
      </c>
    </row>
    <row r="16" spans="1:9" x14ac:dyDescent="0.3">
      <c r="A16" s="3">
        <f>1+A15</f>
        <v>15</v>
      </c>
      <c r="B16" s="11">
        <v>8.3333333333333332E-3</v>
      </c>
      <c r="C16" s="11">
        <f t="shared" si="2"/>
        <v>0.49791666666666673</v>
      </c>
      <c r="D16" s="11">
        <v>7.6388888888888886E-3</v>
      </c>
      <c r="E16" s="11">
        <f t="shared" si="6"/>
        <v>0</v>
      </c>
      <c r="F16" s="11">
        <f t="shared" si="3"/>
        <v>0.49791666666666673</v>
      </c>
      <c r="G16" s="11">
        <f t="shared" si="0"/>
        <v>0.50555555555555565</v>
      </c>
      <c r="H16" s="11">
        <f t="shared" si="1"/>
        <v>7.6388888888888886E-3</v>
      </c>
      <c r="I16" s="11">
        <f t="shared" si="4"/>
        <v>2.0833333333333814E-3</v>
      </c>
    </row>
    <row r="19" spans="1:10" x14ac:dyDescent="0.3">
      <c r="A19" s="12" t="s">
        <v>41</v>
      </c>
      <c r="B19" s="12"/>
      <c r="C19" s="12"/>
      <c r="D19" s="12"/>
      <c r="F19" s="2" t="s">
        <v>1</v>
      </c>
      <c r="G19" s="46" t="s">
        <v>9</v>
      </c>
      <c r="H19" s="46"/>
      <c r="I19" s="46"/>
    </row>
    <row r="20" spans="1:10" x14ac:dyDescent="0.3">
      <c r="A20" s="12" t="s">
        <v>42</v>
      </c>
      <c r="B20" s="12"/>
      <c r="C20" s="12"/>
      <c r="D20" s="12"/>
      <c r="F20" s="1"/>
      <c r="G20" s="1"/>
      <c r="H20" s="1"/>
      <c r="I20" s="1"/>
    </row>
    <row r="21" spans="1:10" x14ac:dyDescent="0.3">
      <c r="A21" s="12" t="s">
        <v>43</v>
      </c>
      <c r="B21" s="12"/>
      <c r="C21" s="12"/>
      <c r="D21" s="12"/>
      <c r="F21" s="46" t="s">
        <v>47</v>
      </c>
      <c r="G21" s="46"/>
      <c r="H21" s="53">
        <f>(SUM(E2:E16) / 15) * 1440</f>
        <v>0.13333333333333286</v>
      </c>
      <c r="I21" s="53"/>
      <c r="J21" t="s">
        <v>14</v>
      </c>
    </row>
    <row r="22" spans="1:10" x14ac:dyDescent="0.3">
      <c r="A22" s="12" t="s">
        <v>44</v>
      </c>
      <c r="B22" s="12"/>
      <c r="C22" s="12"/>
      <c r="D22" s="12"/>
      <c r="F22" s="1"/>
      <c r="G22" s="1"/>
      <c r="H22" s="1"/>
      <c r="I22" s="1"/>
    </row>
    <row r="23" spans="1:10" x14ac:dyDescent="0.3">
      <c r="F23" s="46" t="s">
        <v>48</v>
      </c>
      <c r="G23" s="46"/>
      <c r="H23" s="54">
        <f>SUM(D2:D16) / 15</f>
        <v>6.9444444444444458E-3</v>
      </c>
      <c r="I23" s="54"/>
      <c r="J23" t="s">
        <v>14</v>
      </c>
    </row>
    <row r="24" spans="1:10" x14ac:dyDescent="0.3">
      <c r="A24" t="s">
        <v>45</v>
      </c>
      <c r="F24" s="1"/>
      <c r="G24" s="1"/>
      <c r="H24" s="1"/>
      <c r="I24" s="1"/>
    </row>
    <row r="25" spans="1:10" x14ac:dyDescent="0.3">
      <c r="F25" s="46" t="s">
        <v>49</v>
      </c>
      <c r="G25" s="46"/>
      <c r="H25" s="54">
        <f>SUM(H2:H16) / 15</f>
        <v>7.0370370370370378E-3</v>
      </c>
      <c r="I25" s="48"/>
      <c r="J25" t="s">
        <v>14</v>
      </c>
    </row>
    <row r="26" spans="1:10" x14ac:dyDescent="0.3">
      <c r="F26" s="1"/>
      <c r="G26" s="1"/>
      <c r="H26" s="1"/>
      <c r="I26" s="1"/>
    </row>
    <row r="27" spans="1:10" x14ac:dyDescent="0.3">
      <c r="F27" s="49" t="s">
        <v>50</v>
      </c>
      <c r="G27" s="50"/>
      <c r="H27" s="51">
        <f>38/188</f>
        <v>0.20212765957446807</v>
      </c>
      <c r="I27" s="52"/>
      <c r="J27" t="s">
        <v>14</v>
      </c>
    </row>
  </sheetData>
  <mergeCells count="9">
    <mergeCell ref="F27:G27"/>
    <mergeCell ref="H27:I27"/>
    <mergeCell ref="G19:I19"/>
    <mergeCell ref="F21:G21"/>
    <mergeCell ref="H21:I21"/>
    <mergeCell ref="F23:G23"/>
    <mergeCell ref="H23:I23"/>
    <mergeCell ref="F25:G25"/>
    <mergeCell ref="H25:I2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D8E9-400F-456A-8C03-75E38955D1DB}">
  <dimension ref="A1:Q63"/>
  <sheetViews>
    <sheetView tabSelected="1" topLeftCell="A49" workbookViewId="0">
      <selection activeCell="H59" sqref="H59"/>
    </sheetView>
  </sheetViews>
  <sheetFormatPr defaultRowHeight="14.4" x14ac:dyDescent="0.3"/>
  <cols>
    <col min="1" max="1" width="15" customWidth="1"/>
    <col min="2" max="2" width="16.5546875" customWidth="1"/>
    <col min="3" max="3" width="15.109375" customWidth="1"/>
    <col min="4" max="4" width="14.6640625" customWidth="1"/>
    <col min="5" max="5" width="16" customWidth="1"/>
    <col min="6" max="6" width="16.6640625" customWidth="1"/>
    <col min="7" max="7" width="12.88671875" customWidth="1"/>
    <col min="8" max="8" width="14.5546875" customWidth="1"/>
    <col min="9" max="9" width="12.33203125" customWidth="1"/>
    <col min="10" max="10" width="13.21875" customWidth="1"/>
    <col min="11" max="11" width="12" customWidth="1"/>
    <col min="12" max="12" width="14.5546875" customWidth="1"/>
    <col min="13" max="14" width="12.21875" customWidth="1"/>
  </cols>
  <sheetData>
    <row r="1" spans="1:8" ht="41.4" x14ac:dyDescent="0.3">
      <c r="A1" s="2" t="s">
        <v>0</v>
      </c>
      <c r="B1" s="2" t="s">
        <v>15</v>
      </c>
      <c r="C1" s="2" t="s">
        <v>20</v>
      </c>
      <c r="D1" s="2" t="s">
        <v>17</v>
      </c>
      <c r="E1" s="2" t="s">
        <v>16</v>
      </c>
      <c r="F1" s="2" t="s">
        <v>21</v>
      </c>
      <c r="G1" s="2" t="s">
        <v>18</v>
      </c>
      <c r="H1" s="2" t="s">
        <v>19</v>
      </c>
    </row>
    <row r="2" spans="1:8" x14ac:dyDescent="0.3">
      <c r="A2" s="3">
        <f>1</f>
        <v>1</v>
      </c>
      <c r="B2" s="3">
        <v>6</v>
      </c>
      <c r="C2" s="3">
        <v>9</v>
      </c>
      <c r="D2" s="3">
        <v>0</v>
      </c>
      <c r="E2" s="3">
        <v>6</v>
      </c>
      <c r="F2" s="3">
        <f t="shared" ref="F2:F11" si="0">SUM(B2,C2,D2)</f>
        <v>15</v>
      </c>
      <c r="G2" s="3">
        <f t="shared" ref="G2:G11" si="1">SUM(C2,D2)</f>
        <v>9</v>
      </c>
      <c r="H2" s="3">
        <v>6</v>
      </c>
    </row>
    <row r="3" spans="1:8" x14ac:dyDescent="0.3">
      <c r="A3" s="3">
        <f>1+A2</f>
        <v>2</v>
      </c>
      <c r="B3" s="3">
        <v>24</v>
      </c>
      <c r="C3" s="3">
        <v>7.5</v>
      </c>
      <c r="D3" s="3">
        <v>0</v>
      </c>
      <c r="E3" s="3">
        <v>24</v>
      </c>
      <c r="F3" s="3">
        <f t="shared" si="0"/>
        <v>31.5</v>
      </c>
      <c r="G3" s="3">
        <f t="shared" si="1"/>
        <v>7.5</v>
      </c>
      <c r="H3" s="3">
        <f>SUM(B3-F2)</f>
        <v>9</v>
      </c>
    </row>
    <row r="4" spans="1:8" x14ac:dyDescent="0.3">
      <c r="A4" s="3">
        <f t="shared" ref="A4:A11" si="2">1+A3</f>
        <v>3</v>
      </c>
      <c r="B4" s="3">
        <v>26</v>
      </c>
      <c r="C4" s="3">
        <v>10</v>
      </c>
      <c r="D4" s="3">
        <f>SUM(F3-B4)</f>
        <v>5.5</v>
      </c>
      <c r="E4" s="3">
        <f t="shared" ref="E4:E11" si="3">SUM(B4,D4)</f>
        <v>31.5</v>
      </c>
      <c r="F4" s="3">
        <f t="shared" si="0"/>
        <v>41.5</v>
      </c>
      <c r="G4" s="3">
        <f t="shared" si="1"/>
        <v>15.5</v>
      </c>
      <c r="H4" s="3">
        <f t="shared" ref="H4:H11" si="4">IF(SUM(B4-F3)&lt;0,0,SUM(B4-F3))</f>
        <v>0</v>
      </c>
    </row>
    <row r="5" spans="1:8" x14ac:dyDescent="0.3">
      <c r="A5" s="3">
        <f t="shared" si="2"/>
        <v>4</v>
      </c>
      <c r="B5" s="3">
        <v>35</v>
      </c>
      <c r="C5" s="3">
        <v>6.5</v>
      </c>
      <c r="D5" s="3">
        <f>SUM(F4-B5)</f>
        <v>6.5</v>
      </c>
      <c r="E5" s="3">
        <f t="shared" si="3"/>
        <v>41.5</v>
      </c>
      <c r="F5" s="3">
        <f t="shared" si="0"/>
        <v>48</v>
      </c>
      <c r="G5" s="3">
        <f t="shared" si="1"/>
        <v>13</v>
      </c>
      <c r="H5" s="3">
        <f t="shared" si="4"/>
        <v>0</v>
      </c>
    </row>
    <row r="6" spans="1:8" x14ac:dyDescent="0.3">
      <c r="A6" s="3">
        <f t="shared" si="2"/>
        <v>5</v>
      </c>
      <c r="B6" s="3">
        <v>44</v>
      </c>
      <c r="C6" s="3">
        <v>6</v>
      </c>
      <c r="D6" s="3">
        <f>SUM(F5-B6)</f>
        <v>4</v>
      </c>
      <c r="E6" s="3">
        <f t="shared" si="3"/>
        <v>48</v>
      </c>
      <c r="F6" s="3">
        <f t="shared" si="0"/>
        <v>54</v>
      </c>
      <c r="G6" s="3">
        <f t="shared" si="1"/>
        <v>10</v>
      </c>
      <c r="H6" s="3">
        <f t="shared" si="4"/>
        <v>0</v>
      </c>
    </row>
    <row r="7" spans="1:8" x14ac:dyDescent="0.3">
      <c r="A7" s="3">
        <f t="shared" si="2"/>
        <v>6</v>
      </c>
      <c r="B7" s="3">
        <v>52</v>
      </c>
      <c r="C7" s="3">
        <v>5</v>
      </c>
      <c r="D7" s="3">
        <f>SUM(F6-B7)</f>
        <v>2</v>
      </c>
      <c r="E7" s="3">
        <f t="shared" si="3"/>
        <v>54</v>
      </c>
      <c r="F7" s="3">
        <f t="shared" si="0"/>
        <v>59</v>
      </c>
      <c r="G7" s="3">
        <f t="shared" si="1"/>
        <v>7</v>
      </c>
      <c r="H7" s="3">
        <f t="shared" si="4"/>
        <v>0</v>
      </c>
    </row>
    <row r="8" spans="1:8" x14ac:dyDescent="0.3">
      <c r="A8" s="3">
        <f t="shared" si="2"/>
        <v>7</v>
      </c>
      <c r="B8" s="3">
        <v>58</v>
      </c>
      <c r="C8" s="3">
        <v>9</v>
      </c>
      <c r="D8" s="3">
        <f>SUM(F7-B8)</f>
        <v>1</v>
      </c>
      <c r="E8" s="3">
        <f t="shared" si="3"/>
        <v>59</v>
      </c>
      <c r="F8" s="3">
        <f t="shared" si="0"/>
        <v>68</v>
      </c>
      <c r="G8" s="3">
        <f t="shared" si="1"/>
        <v>10</v>
      </c>
      <c r="H8" s="3">
        <f t="shared" si="4"/>
        <v>0</v>
      </c>
    </row>
    <row r="9" spans="1:8" x14ac:dyDescent="0.3">
      <c r="A9" s="3">
        <f t="shared" si="2"/>
        <v>8</v>
      </c>
      <c r="B9" s="3">
        <v>70</v>
      </c>
      <c r="C9" s="3">
        <v>7.5</v>
      </c>
      <c r="D9" s="3">
        <f>IF(SUM(F8-B9) &lt; 0, 0, SUM(F8-B9))</f>
        <v>0</v>
      </c>
      <c r="E9" s="3">
        <f t="shared" si="3"/>
        <v>70</v>
      </c>
      <c r="F9" s="3">
        <f t="shared" si="0"/>
        <v>77.5</v>
      </c>
      <c r="G9" s="3">
        <f t="shared" si="1"/>
        <v>7.5</v>
      </c>
      <c r="H9" s="3">
        <f t="shared" si="4"/>
        <v>2</v>
      </c>
    </row>
    <row r="10" spans="1:8" x14ac:dyDescent="0.3">
      <c r="A10" s="3">
        <f t="shared" si="2"/>
        <v>9</v>
      </c>
      <c r="B10" s="3">
        <v>77</v>
      </c>
      <c r="C10" s="3">
        <v>6.5</v>
      </c>
      <c r="D10" s="3">
        <f>IF(SUM(F9-B10) &lt; 0, 0, SUM(F9-B10))</f>
        <v>0.5</v>
      </c>
      <c r="E10" s="3">
        <f t="shared" si="3"/>
        <v>77.5</v>
      </c>
      <c r="F10" s="3">
        <f t="shared" si="0"/>
        <v>84</v>
      </c>
      <c r="G10" s="3">
        <f t="shared" si="1"/>
        <v>7</v>
      </c>
      <c r="H10" s="3">
        <f t="shared" si="4"/>
        <v>0</v>
      </c>
    </row>
    <row r="11" spans="1:8" ht="15" thickBot="1" x14ac:dyDescent="0.35">
      <c r="A11" s="3">
        <f t="shared" si="2"/>
        <v>10</v>
      </c>
      <c r="B11" s="3">
        <v>89</v>
      </c>
      <c r="C11" s="17">
        <v>11</v>
      </c>
      <c r="D11" s="3">
        <f>IF(SUM(F10-B11) &lt; 0, 0, SUM(F10-B11))</f>
        <v>0</v>
      </c>
      <c r="E11" s="3">
        <f t="shared" si="3"/>
        <v>89</v>
      </c>
      <c r="F11" s="3">
        <f t="shared" si="0"/>
        <v>100</v>
      </c>
      <c r="G11" s="3">
        <f t="shared" si="1"/>
        <v>11</v>
      </c>
      <c r="H11" s="17">
        <f t="shared" si="4"/>
        <v>5</v>
      </c>
    </row>
    <row r="12" spans="1:8" ht="15" thickBot="1" x14ac:dyDescent="0.35">
      <c r="C12" s="39">
        <f>SUM(C2:C11)</f>
        <v>78</v>
      </c>
      <c r="G12" s="1"/>
      <c r="H12" s="40">
        <f>SUM(H2:H11)</f>
        <v>22</v>
      </c>
    </row>
    <row r="13" spans="1:8" ht="15" thickBot="1" x14ac:dyDescent="0.35"/>
    <row r="14" spans="1:8" x14ac:dyDescent="0.3">
      <c r="A14" s="18" t="s">
        <v>51</v>
      </c>
      <c r="B14" s="19"/>
      <c r="C14" s="19"/>
      <c r="D14" s="20"/>
      <c r="E14" s="21"/>
    </row>
    <row r="15" spans="1:8" x14ac:dyDescent="0.3">
      <c r="A15" s="22" t="s">
        <v>52</v>
      </c>
      <c r="B15" s="14"/>
      <c r="C15" s="14"/>
      <c r="D15" s="23"/>
      <c r="E15" s="24"/>
    </row>
    <row r="16" spans="1:8" ht="15" thickBot="1" x14ac:dyDescent="0.35">
      <c r="A16" s="25" t="s">
        <v>53</v>
      </c>
      <c r="B16" s="26"/>
      <c r="C16" s="26"/>
      <c r="D16" s="27"/>
      <c r="E16" s="28"/>
    </row>
    <row r="17" spans="1:7" ht="15" thickBot="1" x14ac:dyDescent="0.35"/>
    <row r="18" spans="1:7" ht="15" thickBot="1" x14ac:dyDescent="0.35">
      <c r="A18" s="61" t="s">
        <v>54</v>
      </c>
      <c r="B18" s="62"/>
      <c r="C18" s="63"/>
      <c r="D18" s="15">
        <f>C12/10</f>
        <v>7.8</v>
      </c>
      <c r="E18" s="16" t="s">
        <v>14</v>
      </c>
    </row>
    <row r="19" spans="1:7" ht="15" thickBot="1" x14ac:dyDescent="0.35">
      <c r="A19" s="61" t="s">
        <v>55</v>
      </c>
      <c r="B19" s="62"/>
      <c r="C19" s="63"/>
      <c r="D19" s="15">
        <f>((F11-H12)/F11)*100</f>
        <v>78</v>
      </c>
      <c r="E19" s="16" t="s">
        <v>56</v>
      </c>
    </row>
    <row r="23" spans="1:7" ht="41.4" x14ac:dyDescent="0.3">
      <c r="A23" s="2" t="s">
        <v>30</v>
      </c>
      <c r="B23" s="2" t="s">
        <v>28</v>
      </c>
      <c r="C23" s="2" t="s">
        <v>31</v>
      </c>
      <c r="D23" s="2" t="s">
        <v>32</v>
      </c>
      <c r="E23" s="2" t="s">
        <v>33</v>
      </c>
      <c r="F23" s="2" t="s">
        <v>34</v>
      </c>
      <c r="G23" s="2" t="s">
        <v>35</v>
      </c>
    </row>
    <row r="24" spans="1:7" x14ac:dyDescent="0.3">
      <c r="A24" s="3">
        <v>0</v>
      </c>
      <c r="B24" s="3" t="s">
        <v>36</v>
      </c>
      <c r="C24" s="9" t="s">
        <v>40</v>
      </c>
      <c r="D24" s="3">
        <v>0</v>
      </c>
      <c r="E24" s="3">
        <v>0</v>
      </c>
      <c r="F24" s="3" t="s">
        <v>29</v>
      </c>
      <c r="G24" s="3" t="s">
        <v>36</v>
      </c>
    </row>
    <row r="25" spans="1:7" x14ac:dyDescent="0.3">
      <c r="A25" s="10">
        <v>6</v>
      </c>
      <c r="B25" s="59">
        <v>1</v>
      </c>
      <c r="C25" s="10" t="s">
        <v>38</v>
      </c>
      <c r="D25" s="10">
        <v>0</v>
      </c>
      <c r="E25" s="10">
        <v>1</v>
      </c>
      <c r="F25" s="10" t="s">
        <v>37</v>
      </c>
      <c r="G25" s="10">
        <v>9</v>
      </c>
    </row>
    <row r="26" spans="1:7" x14ac:dyDescent="0.3">
      <c r="A26" s="3">
        <v>15</v>
      </c>
      <c r="B26" s="60"/>
      <c r="C26" s="3" t="s">
        <v>57</v>
      </c>
      <c r="D26" s="3">
        <v>0</v>
      </c>
      <c r="E26" s="3">
        <v>0</v>
      </c>
      <c r="F26" s="3" t="s">
        <v>29</v>
      </c>
      <c r="G26" s="3" t="s">
        <v>36</v>
      </c>
    </row>
    <row r="27" spans="1:7" x14ac:dyDescent="0.3">
      <c r="A27" s="10">
        <v>24</v>
      </c>
      <c r="B27" s="59">
        <v>2</v>
      </c>
      <c r="C27" s="10" t="s">
        <v>38</v>
      </c>
      <c r="D27" s="10">
        <v>0</v>
      </c>
      <c r="E27" s="10">
        <v>1</v>
      </c>
      <c r="F27" s="10" t="s">
        <v>37</v>
      </c>
      <c r="G27" s="10">
        <v>7.5</v>
      </c>
    </row>
    <row r="28" spans="1:7" x14ac:dyDescent="0.3">
      <c r="A28" s="3">
        <f>A27+7.5</f>
        <v>31.5</v>
      </c>
      <c r="B28" s="60"/>
      <c r="C28" s="3" t="s">
        <v>57</v>
      </c>
      <c r="D28" s="3">
        <v>1</v>
      </c>
      <c r="E28" s="3">
        <v>0</v>
      </c>
      <c r="F28" s="3" t="s">
        <v>29</v>
      </c>
      <c r="G28" s="3" t="s">
        <v>36</v>
      </c>
    </row>
    <row r="29" spans="1:7" x14ac:dyDescent="0.3">
      <c r="A29" s="10">
        <v>26</v>
      </c>
      <c r="B29" s="59">
        <v>3</v>
      </c>
      <c r="C29" s="10" t="s">
        <v>38</v>
      </c>
      <c r="D29" s="10">
        <v>0</v>
      </c>
      <c r="E29" s="10">
        <v>1</v>
      </c>
      <c r="F29" s="10" t="s">
        <v>37</v>
      </c>
      <c r="G29" s="10">
        <v>10</v>
      </c>
    </row>
    <row r="30" spans="1:7" x14ac:dyDescent="0.3">
      <c r="A30" s="3">
        <f>A28+10</f>
        <v>41.5</v>
      </c>
      <c r="B30" s="60"/>
      <c r="C30" s="3" t="s">
        <v>57</v>
      </c>
      <c r="D30" s="3">
        <v>1</v>
      </c>
      <c r="E30" s="3">
        <v>0</v>
      </c>
      <c r="F30" s="3" t="s">
        <v>29</v>
      </c>
      <c r="G30" s="3" t="s">
        <v>36</v>
      </c>
    </row>
    <row r="31" spans="1:7" x14ac:dyDescent="0.3">
      <c r="A31" s="10">
        <v>35</v>
      </c>
      <c r="B31" s="59">
        <v>4</v>
      </c>
      <c r="C31" s="10" t="s">
        <v>38</v>
      </c>
      <c r="D31" s="10">
        <v>0</v>
      </c>
      <c r="E31" s="10">
        <v>1</v>
      </c>
      <c r="F31" s="10" t="s">
        <v>37</v>
      </c>
      <c r="G31" s="10">
        <v>6.5</v>
      </c>
    </row>
    <row r="32" spans="1:7" x14ac:dyDescent="0.3">
      <c r="A32" s="3">
        <f>A30+6.5</f>
        <v>48</v>
      </c>
      <c r="B32" s="60"/>
      <c r="C32" s="3" t="s">
        <v>57</v>
      </c>
      <c r="D32" s="3">
        <v>1</v>
      </c>
      <c r="E32" s="3">
        <v>0</v>
      </c>
      <c r="F32" s="3" t="s">
        <v>29</v>
      </c>
      <c r="G32" s="3" t="s">
        <v>36</v>
      </c>
    </row>
    <row r="33" spans="1:7" x14ac:dyDescent="0.3">
      <c r="A33" s="10">
        <v>44</v>
      </c>
      <c r="B33" s="59">
        <v>5</v>
      </c>
      <c r="C33" s="10" t="s">
        <v>38</v>
      </c>
      <c r="D33" s="10">
        <v>0</v>
      </c>
      <c r="E33" s="10">
        <v>1</v>
      </c>
      <c r="F33" s="10" t="s">
        <v>37</v>
      </c>
      <c r="G33" s="10">
        <v>6</v>
      </c>
    </row>
    <row r="34" spans="1:7" x14ac:dyDescent="0.3">
      <c r="A34" s="3">
        <f>A32+6</f>
        <v>54</v>
      </c>
      <c r="B34" s="60"/>
      <c r="C34" s="3" t="s">
        <v>57</v>
      </c>
      <c r="D34" s="3">
        <v>1</v>
      </c>
      <c r="E34" s="3">
        <v>0</v>
      </c>
      <c r="F34" s="3" t="s">
        <v>29</v>
      </c>
      <c r="G34" s="3" t="s">
        <v>36</v>
      </c>
    </row>
    <row r="35" spans="1:7" x14ac:dyDescent="0.3">
      <c r="A35" s="10">
        <v>52</v>
      </c>
      <c r="B35" s="59">
        <v>6</v>
      </c>
      <c r="C35" s="10" t="s">
        <v>38</v>
      </c>
      <c r="D35" s="10">
        <v>0</v>
      </c>
      <c r="E35" s="10">
        <v>1</v>
      </c>
      <c r="F35" s="10" t="s">
        <v>37</v>
      </c>
      <c r="G35" s="10">
        <v>5</v>
      </c>
    </row>
    <row r="36" spans="1:7" x14ac:dyDescent="0.3">
      <c r="A36" s="3">
        <f>A34+5</f>
        <v>59</v>
      </c>
      <c r="B36" s="60"/>
      <c r="C36" s="3" t="s">
        <v>57</v>
      </c>
      <c r="D36" s="3">
        <v>1</v>
      </c>
      <c r="E36" s="3">
        <v>0</v>
      </c>
      <c r="F36" s="3" t="s">
        <v>29</v>
      </c>
      <c r="G36" s="3" t="s">
        <v>36</v>
      </c>
    </row>
    <row r="37" spans="1:7" x14ac:dyDescent="0.3">
      <c r="A37" s="10">
        <v>58</v>
      </c>
      <c r="B37" s="59">
        <v>7</v>
      </c>
      <c r="C37" s="10" t="s">
        <v>38</v>
      </c>
      <c r="D37" s="10">
        <v>0</v>
      </c>
      <c r="E37" s="10">
        <v>1</v>
      </c>
      <c r="F37" s="10" t="s">
        <v>37</v>
      </c>
      <c r="G37" s="10">
        <v>9</v>
      </c>
    </row>
    <row r="38" spans="1:7" x14ac:dyDescent="0.3">
      <c r="A38" s="3">
        <f>A36+9</f>
        <v>68</v>
      </c>
      <c r="B38" s="60"/>
      <c r="C38" s="3" t="s">
        <v>57</v>
      </c>
      <c r="D38" s="3">
        <v>0</v>
      </c>
      <c r="E38" s="3">
        <v>0</v>
      </c>
      <c r="F38" s="3" t="s">
        <v>29</v>
      </c>
      <c r="G38" s="3" t="s">
        <v>36</v>
      </c>
    </row>
    <row r="39" spans="1:7" x14ac:dyDescent="0.3">
      <c r="A39" s="10">
        <v>70</v>
      </c>
      <c r="B39" s="59">
        <v>8</v>
      </c>
      <c r="C39" s="10" t="s">
        <v>38</v>
      </c>
      <c r="D39" s="10">
        <v>0</v>
      </c>
      <c r="E39" s="10">
        <v>1</v>
      </c>
      <c r="F39" s="10" t="s">
        <v>37</v>
      </c>
      <c r="G39" s="10">
        <v>7.5</v>
      </c>
    </row>
    <row r="40" spans="1:7" x14ac:dyDescent="0.3">
      <c r="A40" s="3">
        <f>A38+7.5</f>
        <v>75.5</v>
      </c>
      <c r="B40" s="60"/>
      <c r="C40" s="3" t="s">
        <v>57</v>
      </c>
      <c r="D40" s="3">
        <v>0</v>
      </c>
      <c r="E40" s="3">
        <v>0</v>
      </c>
      <c r="F40" s="13" t="s">
        <v>29</v>
      </c>
      <c r="G40" s="31" t="s">
        <v>36</v>
      </c>
    </row>
    <row r="41" spans="1:7" x14ac:dyDescent="0.3">
      <c r="A41" s="10">
        <v>77</v>
      </c>
      <c r="B41" s="59">
        <v>9</v>
      </c>
      <c r="C41" s="29" t="s">
        <v>38</v>
      </c>
      <c r="D41" s="29">
        <v>0</v>
      </c>
      <c r="E41" s="29">
        <v>1</v>
      </c>
      <c r="F41" s="29" t="s">
        <v>37</v>
      </c>
      <c r="G41" s="29">
        <v>6.5</v>
      </c>
    </row>
    <row r="42" spans="1:7" x14ac:dyDescent="0.3">
      <c r="A42" s="3">
        <f>A40+6.5</f>
        <v>82</v>
      </c>
      <c r="B42" s="60"/>
      <c r="C42" s="3" t="s">
        <v>57</v>
      </c>
      <c r="D42" s="3">
        <v>0</v>
      </c>
      <c r="E42" s="3">
        <v>0</v>
      </c>
      <c r="F42" s="3" t="s">
        <v>29</v>
      </c>
      <c r="G42" s="3" t="s">
        <v>36</v>
      </c>
    </row>
    <row r="43" spans="1:7" x14ac:dyDescent="0.3">
      <c r="A43" s="10">
        <v>89</v>
      </c>
      <c r="B43" s="59">
        <v>10</v>
      </c>
      <c r="C43" s="29" t="s">
        <v>38</v>
      </c>
      <c r="D43" s="29">
        <v>0</v>
      </c>
      <c r="E43" s="29">
        <v>1</v>
      </c>
      <c r="F43" s="29" t="s">
        <v>37</v>
      </c>
      <c r="G43" s="29">
        <v>11</v>
      </c>
    </row>
    <row r="44" spans="1:7" x14ac:dyDescent="0.3">
      <c r="A44" s="3">
        <f>A42+11</f>
        <v>93</v>
      </c>
      <c r="B44" s="60"/>
      <c r="C44" s="3" t="s">
        <v>57</v>
      </c>
      <c r="D44" s="3">
        <v>0</v>
      </c>
      <c r="E44" s="3">
        <v>0</v>
      </c>
      <c r="F44" s="3" t="s">
        <v>29</v>
      </c>
      <c r="G44" s="3" t="s">
        <v>36</v>
      </c>
    </row>
    <row r="47" spans="1:7" x14ac:dyDescent="0.3">
      <c r="A47" s="58" t="s">
        <v>62</v>
      </c>
      <c r="B47" s="58"/>
      <c r="C47" s="58"/>
      <c r="D47" s="58"/>
      <c r="E47" s="58"/>
      <c r="F47" s="58"/>
      <c r="G47" s="58"/>
    </row>
    <row r="49" spans="1:17" ht="41.4" x14ac:dyDescent="0.3">
      <c r="A49" s="2" t="s">
        <v>0</v>
      </c>
      <c r="B49" s="2" t="s">
        <v>15</v>
      </c>
      <c r="C49" s="2" t="s">
        <v>20</v>
      </c>
      <c r="D49" s="2" t="s">
        <v>17</v>
      </c>
      <c r="E49" s="2" t="s">
        <v>16</v>
      </c>
      <c r="F49" s="2" t="s">
        <v>21</v>
      </c>
      <c r="G49" s="2" t="s">
        <v>18</v>
      </c>
      <c r="H49" s="2" t="s">
        <v>19</v>
      </c>
      <c r="I49" s="32" t="s">
        <v>58</v>
      </c>
      <c r="J49" s="32" t="s">
        <v>59</v>
      </c>
      <c r="K49" s="32" t="s">
        <v>60</v>
      </c>
      <c r="L49" s="34" t="s">
        <v>61</v>
      </c>
      <c r="M49" s="34" t="s">
        <v>66</v>
      </c>
      <c r="N49" s="34" t="s">
        <v>64</v>
      </c>
    </row>
    <row r="50" spans="1:17" x14ac:dyDescent="0.3">
      <c r="A50" s="3">
        <f>1</f>
        <v>1</v>
      </c>
      <c r="B50" s="3">
        <v>6</v>
      </c>
      <c r="C50" s="3">
        <v>9</v>
      </c>
      <c r="D50" s="3">
        <v>0</v>
      </c>
      <c r="E50" s="3">
        <v>6</v>
      </c>
      <c r="F50" s="3">
        <f t="shared" ref="F50:F59" si="5">SUM(B50,C50,D50)</f>
        <v>15</v>
      </c>
      <c r="G50" s="3">
        <f t="shared" ref="G50:G59" si="6">SUM(C50,D50)</f>
        <v>9</v>
      </c>
      <c r="H50" s="3">
        <v>6</v>
      </c>
      <c r="I50" s="30">
        <f>F50</f>
        <v>15</v>
      </c>
      <c r="J50" s="30">
        <v>3</v>
      </c>
      <c r="K50" s="35">
        <v>0</v>
      </c>
      <c r="L50" s="30">
        <f t="shared" ref="L50:L59" si="7">SUM(I50,J50,K50)</f>
        <v>18</v>
      </c>
      <c r="M50" s="30">
        <v>15</v>
      </c>
      <c r="N50" s="30">
        <f>SUM(G50,J50,K50)</f>
        <v>12</v>
      </c>
    </row>
    <row r="51" spans="1:17" x14ac:dyDescent="0.3">
      <c r="A51" s="3">
        <f>1+A50</f>
        <v>2</v>
      </c>
      <c r="B51" s="3">
        <v>24</v>
      </c>
      <c r="C51" s="3">
        <v>7.5</v>
      </c>
      <c r="D51" s="3">
        <v>0</v>
      </c>
      <c r="E51" s="3">
        <v>24</v>
      </c>
      <c r="F51" s="3">
        <f t="shared" si="5"/>
        <v>31.5</v>
      </c>
      <c r="G51" s="3">
        <f t="shared" si="6"/>
        <v>7.5</v>
      </c>
      <c r="H51" s="3">
        <f>SUM(B51-F50)</f>
        <v>9</v>
      </c>
      <c r="I51" s="30">
        <f t="shared" ref="I51:I59" si="8">F51</f>
        <v>31.5</v>
      </c>
      <c r="J51" s="30">
        <v>4.5</v>
      </c>
      <c r="K51" s="35">
        <f t="shared" ref="K51:K59" si="9">IF(L50-I51&lt;0,0,L50-I51)</f>
        <v>0</v>
      </c>
      <c r="L51" s="30">
        <f t="shared" si="7"/>
        <v>36</v>
      </c>
      <c r="M51" s="30">
        <f>IF(I51-L50 &lt; 0, 0,I51-L50)</f>
        <v>13.5</v>
      </c>
      <c r="N51" s="30">
        <f>SUM(G51,J51,K51)</f>
        <v>12</v>
      </c>
    </row>
    <row r="52" spans="1:17" x14ac:dyDescent="0.3">
      <c r="A52" s="3">
        <f t="shared" ref="A52:A59" si="10">1+A51</f>
        <v>3</v>
      </c>
      <c r="B52" s="3">
        <v>26</v>
      </c>
      <c r="C52" s="3">
        <v>10</v>
      </c>
      <c r="D52" s="3">
        <f>SUM(F51-B52)</f>
        <v>5.5</v>
      </c>
      <c r="E52" s="3">
        <f t="shared" ref="E52:E59" si="11">SUM(B52,D52)</f>
        <v>31.5</v>
      </c>
      <c r="F52" s="3">
        <f t="shared" si="5"/>
        <v>41.5</v>
      </c>
      <c r="G52" s="3">
        <f t="shared" si="6"/>
        <v>15.5</v>
      </c>
      <c r="H52" s="3">
        <f t="shared" ref="H52:H59" si="12">IF(SUM(B52-F51)&lt;0,0,SUM(B52-F51))</f>
        <v>0</v>
      </c>
      <c r="I52" s="30">
        <f t="shared" si="8"/>
        <v>41.5</v>
      </c>
      <c r="J52" s="30">
        <v>7</v>
      </c>
      <c r="K52" s="35">
        <f t="shared" si="9"/>
        <v>0</v>
      </c>
      <c r="L52" s="30">
        <f t="shared" si="7"/>
        <v>48.5</v>
      </c>
      <c r="M52" s="30">
        <f t="shared" ref="M52:M59" si="13">IF(I52-L51 &lt; 0, 0,I52-L51)</f>
        <v>5.5</v>
      </c>
      <c r="N52" s="30">
        <f t="shared" ref="N52:N59" si="14">SUM(G52,J52,K52)</f>
        <v>22.5</v>
      </c>
    </row>
    <row r="53" spans="1:17" x14ac:dyDescent="0.3">
      <c r="A53" s="3">
        <f t="shared" si="10"/>
        <v>4</v>
      </c>
      <c r="B53" s="3">
        <v>35</v>
      </c>
      <c r="C53" s="3">
        <v>6.5</v>
      </c>
      <c r="D53" s="3">
        <f>SUM(F52-B53)</f>
        <v>6.5</v>
      </c>
      <c r="E53" s="3">
        <f t="shared" si="11"/>
        <v>41.5</v>
      </c>
      <c r="F53" s="3">
        <f t="shared" si="5"/>
        <v>48</v>
      </c>
      <c r="G53" s="3">
        <f t="shared" si="6"/>
        <v>13</v>
      </c>
      <c r="H53" s="33">
        <f t="shared" si="12"/>
        <v>0</v>
      </c>
      <c r="I53" s="30">
        <f t="shared" si="8"/>
        <v>48</v>
      </c>
      <c r="J53" s="30">
        <v>2</v>
      </c>
      <c r="K53" s="35">
        <f t="shared" si="9"/>
        <v>0.5</v>
      </c>
      <c r="L53" s="30">
        <f t="shared" si="7"/>
        <v>50.5</v>
      </c>
      <c r="M53" s="30">
        <f t="shared" si="13"/>
        <v>0</v>
      </c>
      <c r="N53" s="30">
        <f t="shared" si="14"/>
        <v>15.5</v>
      </c>
    </row>
    <row r="54" spans="1:17" x14ac:dyDescent="0.3">
      <c r="A54" s="3">
        <f t="shared" si="10"/>
        <v>5</v>
      </c>
      <c r="B54" s="3">
        <v>44</v>
      </c>
      <c r="C54" s="3">
        <v>6</v>
      </c>
      <c r="D54" s="3">
        <f>SUM(F53-B54)</f>
        <v>4</v>
      </c>
      <c r="E54" s="3">
        <f t="shared" si="11"/>
        <v>48</v>
      </c>
      <c r="F54" s="3">
        <f t="shared" si="5"/>
        <v>54</v>
      </c>
      <c r="G54" s="3">
        <f t="shared" si="6"/>
        <v>10</v>
      </c>
      <c r="H54" s="33">
        <f t="shared" si="12"/>
        <v>0</v>
      </c>
      <c r="I54" s="30">
        <f t="shared" si="8"/>
        <v>54</v>
      </c>
      <c r="J54" s="30">
        <v>15</v>
      </c>
      <c r="K54" s="35">
        <f t="shared" si="9"/>
        <v>0</v>
      </c>
      <c r="L54" s="30">
        <f t="shared" si="7"/>
        <v>69</v>
      </c>
      <c r="M54" s="30">
        <f t="shared" si="13"/>
        <v>3.5</v>
      </c>
      <c r="N54" s="30">
        <f t="shared" si="14"/>
        <v>25</v>
      </c>
    </row>
    <row r="55" spans="1:17" x14ac:dyDescent="0.3">
      <c r="A55" s="3">
        <f t="shared" si="10"/>
        <v>6</v>
      </c>
      <c r="B55" s="3">
        <v>52</v>
      </c>
      <c r="C55" s="3">
        <v>5</v>
      </c>
      <c r="D55" s="3">
        <f>SUM(F54-B55)</f>
        <v>2</v>
      </c>
      <c r="E55" s="3">
        <f t="shared" si="11"/>
        <v>54</v>
      </c>
      <c r="F55" s="3">
        <f t="shared" si="5"/>
        <v>59</v>
      </c>
      <c r="G55" s="3">
        <f t="shared" si="6"/>
        <v>7</v>
      </c>
      <c r="H55" s="33">
        <f t="shared" si="12"/>
        <v>0</v>
      </c>
      <c r="I55" s="30">
        <f t="shared" si="8"/>
        <v>59</v>
      </c>
      <c r="J55" s="30">
        <v>11</v>
      </c>
      <c r="K55" s="35">
        <f t="shared" si="9"/>
        <v>10</v>
      </c>
      <c r="L55" s="30">
        <f t="shared" si="7"/>
        <v>80</v>
      </c>
      <c r="M55" s="30">
        <f t="shared" si="13"/>
        <v>0</v>
      </c>
      <c r="N55" s="30">
        <f t="shared" si="14"/>
        <v>28</v>
      </c>
    </row>
    <row r="56" spans="1:17" x14ac:dyDescent="0.3">
      <c r="A56" s="3">
        <f t="shared" si="10"/>
        <v>7</v>
      </c>
      <c r="B56" s="3">
        <v>58</v>
      </c>
      <c r="C56" s="3">
        <v>9</v>
      </c>
      <c r="D56" s="3">
        <f>SUM(F55-B56)</f>
        <v>1</v>
      </c>
      <c r="E56" s="3">
        <f t="shared" si="11"/>
        <v>59</v>
      </c>
      <c r="F56" s="3">
        <f t="shared" si="5"/>
        <v>68</v>
      </c>
      <c r="G56" s="3">
        <f t="shared" si="6"/>
        <v>10</v>
      </c>
      <c r="H56" s="33">
        <f t="shared" si="12"/>
        <v>0</v>
      </c>
      <c r="I56" s="30">
        <f t="shared" si="8"/>
        <v>68</v>
      </c>
      <c r="J56" s="30">
        <v>8</v>
      </c>
      <c r="K56" s="35">
        <f t="shared" si="9"/>
        <v>12</v>
      </c>
      <c r="L56" s="30">
        <f t="shared" si="7"/>
        <v>88</v>
      </c>
      <c r="M56" s="30">
        <f t="shared" si="13"/>
        <v>0</v>
      </c>
      <c r="N56" s="30">
        <f t="shared" si="14"/>
        <v>30</v>
      </c>
    </row>
    <row r="57" spans="1:17" x14ac:dyDescent="0.3">
      <c r="A57" s="3">
        <f t="shared" si="10"/>
        <v>8</v>
      </c>
      <c r="B57" s="3">
        <v>70</v>
      </c>
      <c r="C57" s="3">
        <v>7.5</v>
      </c>
      <c r="D57" s="3">
        <f>IF(SUM(F56-B57) &lt; 0, 0, SUM(F56-B57))</f>
        <v>0</v>
      </c>
      <c r="E57" s="3">
        <f t="shared" si="11"/>
        <v>70</v>
      </c>
      <c r="F57" s="3">
        <f t="shared" si="5"/>
        <v>77.5</v>
      </c>
      <c r="G57" s="3">
        <f t="shared" si="6"/>
        <v>7.5</v>
      </c>
      <c r="H57" s="33">
        <f t="shared" si="12"/>
        <v>2</v>
      </c>
      <c r="I57" s="30">
        <f t="shared" si="8"/>
        <v>77.5</v>
      </c>
      <c r="J57" s="30">
        <v>3</v>
      </c>
      <c r="K57" s="35">
        <f t="shared" si="9"/>
        <v>10.5</v>
      </c>
      <c r="L57" s="30">
        <f t="shared" si="7"/>
        <v>91</v>
      </c>
      <c r="M57" s="30">
        <f t="shared" si="13"/>
        <v>0</v>
      </c>
      <c r="N57" s="30">
        <f t="shared" si="14"/>
        <v>21</v>
      </c>
      <c r="Q57" s="30"/>
    </row>
    <row r="58" spans="1:17" x14ac:dyDescent="0.3">
      <c r="A58" s="3">
        <f t="shared" si="10"/>
        <v>9</v>
      </c>
      <c r="B58" s="3">
        <v>77</v>
      </c>
      <c r="C58" s="3">
        <v>6.5</v>
      </c>
      <c r="D58" s="3">
        <f>IF(SUM(F57-B58) &lt; 0, 0, SUM(F57-B58))</f>
        <v>0.5</v>
      </c>
      <c r="E58" s="3">
        <f t="shared" si="11"/>
        <v>77.5</v>
      </c>
      <c r="F58" s="3">
        <f t="shared" si="5"/>
        <v>84</v>
      </c>
      <c r="G58" s="3">
        <f t="shared" si="6"/>
        <v>7</v>
      </c>
      <c r="H58" s="33">
        <f t="shared" si="12"/>
        <v>0</v>
      </c>
      <c r="I58" s="30">
        <f t="shared" si="8"/>
        <v>84</v>
      </c>
      <c r="J58" s="30">
        <v>2</v>
      </c>
      <c r="K58" s="35">
        <f t="shared" si="9"/>
        <v>7</v>
      </c>
      <c r="L58" s="30">
        <f t="shared" si="7"/>
        <v>93</v>
      </c>
      <c r="M58" s="30">
        <f t="shared" si="13"/>
        <v>0</v>
      </c>
      <c r="N58" s="30">
        <f t="shared" si="14"/>
        <v>16</v>
      </c>
    </row>
    <row r="59" spans="1:17" ht="15" thickBot="1" x14ac:dyDescent="0.35">
      <c r="A59" s="3">
        <f t="shared" si="10"/>
        <v>10</v>
      </c>
      <c r="B59" s="3">
        <v>89</v>
      </c>
      <c r="C59" s="3">
        <v>11</v>
      </c>
      <c r="D59" s="3">
        <f>IF(SUM(F58-B59) &lt; 0, 0, SUM(F58-B59))</f>
        <v>0</v>
      </c>
      <c r="E59" s="3">
        <f t="shared" si="11"/>
        <v>89</v>
      </c>
      <c r="F59" s="3">
        <f t="shared" si="5"/>
        <v>100</v>
      </c>
      <c r="G59" s="3">
        <f t="shared" si="6"/>
        <v>11</v>
      </c>
      <c r="H59" s="33">
        <f t="shared" si="12"/>
        <v>5</v>
      </c>
      <c r="I59" s="30">
        <f t="shared" si="8"/>
        <v>100</v>
      </c>
      <c r="J59" s="30">
        <v>5</v>
      </c>
      <c r="K59" s="38">
        <f t="shared" si="9"/>
        <v>0</v>
      </c>
      <c r="L59" s="30">
        <f t="shared" si="7"/>
        <v>105</v>
      </c>
      <c r="M59" s="36">
        <f t="shared" si="13"/>
        <v>7</v>
      </c>
      <c r="N59" s="36">
        <f t="shared" si="14"/>
        <v>16</v>
      </c>
    </row>
    <row r="60" spans="1:17" ht="15" thickBot="1" x14ac:dyDescent="0.35">
      <c r="K60" s="37">
        <f>SUM(K50:K59)</f>
        <v>40</v>
      </c>
      <c r="M60" s="37">
        <f>SUM(M50:M59)</f>
        <v>44.5</v>
      </c>
      <c r="N60" s="37">
        <f>SUM(N50:N59)</f>
        <v>198</v>
      </c>
    </row>
    <row r="61" spans="1:17" ht="15" thickBot="1" x14ac:dyDescent="0.35">
      <c r="A61" s="55" t="s">
        <v>63</v>
      </c>
      <c r="B61" s="56"/>
      <c r="C61" s="57"/>
      <c r="D61" s="43">
        <f>N60/10</f>
        <v>19.8</v>
      </c>
      <c r="E61" s="42" t="s">
        <v>14</v>
      </c>
    </row>
    <row r="62" spans="1:17" ht="15" thickBot="1" x14ac:dyDescent="0.35">
      <c r="A62" s="55" t="s">
        <v>65</v>
      </c>
      <c r="B62" s="56"/>
      <c r="C62" s="57"/>
      <c r="D62" s="43">
        <f>K60/10</f>
        <v>4</v>
      </c>
      <c r="E62" s="42" t="s">
        <v>14</v>
      </c>
    </row>
    <row r="63" spans="1:17" ht="15" thickBot="1" x14ac:dyDescent="0.35">
      <c r="A63" s="55" t="s">
        <v>67</v>
      </c>
      <c r="B63" s="56"/>
      <c r="C63" s="57"/>
      <c r="D63" s="41">
        <f>(M60/L59)*100</f>
        <v>42.38095238095238</v>
      </c>
      <c r="E63" s="42" t="s">
        <v>56</v>
      </c>
    </row>
  </sheetData>
  <mergeCells count="16">
    <mergeCell ref="A18:C18"/>
    <mergeCell ref="A19:C19"/>
    <mergeCell ref="A62:C62"/>
    <mergeCell ref="A47:G47"/>
    <mergeCell ref="A63:C63"/>
    <mergeCell ref="B25:B26"/>
    <mergeCell ref="B27:B28"/>
    <mergeCell ref="B29:B30"/>
    <mergeCell ref="B31:B32"/>
    <mergeCell ref="A61:C61"/>
    <mergeCell ref="B33:B34"/>
    <mergeCell ref="B35:B36"/>
    <mergeCell ref="B37:B38"/>
    <mergeCell ref="B39:B40"/>
    <mergeCell ref="B41:B42"/>
    <mergeCell ref="B43:B4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 1</vt:lpstr>
      <vt:lpstr>Exercício 1</vt:lpstr>
      <vt:lpstr>Exemplo</vt:lpstr>
      <vt:lpstr>Exemplo 1 - igor</vt:lpstr>
      <vt:lpstr>Exercicio - igor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Verônica Pires</dc:creator>
  <cp:lastModifiedBy>Igor f Bastos</cp:lastModifiedBy>
  <cp:lastPrinted>2025-04-01T18:08:54Z</cp:lastPrinted>
  <dcterms:created xsi:type="dcterms:W3CDTF">2018-08-09T17:45:25Z</dcterms:created>
  <dcterms:modified xsi:type="dcterms:W3CDTF">2025-09-07T14:54:21Z</dcterms:modified>
</cp:coreProperties>
</file>