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gord\OneDrive\Área de Trabalho\UFSC\Modelagem e simulação\"/>
    </mc:Choice>
  </mc:AlternateContent>
  <xr:revisionPtr revIDLastSave="0" documentId="13_ncr:1_{C065A4D2-267E-41E9-80BF-EB0ABA0BFF04}" xr6:coauthVersionLast="47" xr6:coauthVersionMax="47" xr10:uidLastSave="{00000000-0000-0000-0000-000000000000}"/>
  <bookViews>
    <workbookView xWindow="-108" yWindow="-108" windowWidth="23256" windowHeight="12456" xr2:uid="{631EF433-22AF-4D4B-8C4A-A2B288C8D26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73" i="1" l="1"/>
  <c r="W72" i="1"/>
  <c r="W71" i="1"/>
  <c r="W70" i="1"/>
  <c r="W69" i="1" l="1"/>
  <c r="W68" i="1"/>
  <c r="P86" i="1"/>
  <c r="N86" i="1"/>
  <c r="H86" i="1"/>
  <c r="F86" i="1"/>
  <c r="C86" i="1"/>
  <c r="P85" i="1"/>
  <c r="N85" i="1"/>
  <c r="L85" i="1"/>
  <c r="J85" i="1"/>
  <c r="H85" i="1"/>
  <c r="P84" i="1"/>
  <c r="N84" i="1"/>
  <c r="L84" i="1"/>
  <c r="J84" i="1"/>
  <c r="H84" i="1"/>
  <c r="P83" i="1"/>
  <c r="N83" i="1"/>
  <c r="L83" i="1"/>
  <c r="J83" i="1"/>
  <c r="H83" i="1"/>
  <c r="P82" i="1"/>
  <c r="N82" i="1"/>
  <c r="L82" i="1"/>
  <c r="J82" i="1"/>
  <c r="H82" i="1"/>
  <c r="P81" i="1"/>
  <c r="N81" i="1"/>
  <c r="L81" i="1"/>
  <c r="J81" i="1"/>
  <c r="H81" i="1"/>
  <c r="P80" i="1"/>
  <c r="N80" i="1"/>
  <c r="L80" i="1"/>
  <c r="J80" i="1"/>
  <c r="H80" i="1"/>
  <c r="P79" i="1"/>
  <c r="N79" i="1"/>
  <c r="L79" i="1"/>
  <c r="J79" i="1"/>
  <c r="H79" i="1"/>
  <c r="P78" i="1"/>
  <c r="N78" i="1"/>
  <c r="L78" i="1"/>
  <c r="J78" i="1"/>
  <c r="H78" i="1"/>
  <c r="P77" i="1"/>
  <c r="N77" i="1"/>
  <c r="L77" i="1"/>
  <c r="J77" i="1"/>
  <c r="H77" i="1"/>
  <c r="P76" i="1"/>
  <c r="N76" i="1"/>
  <c r="L76" i="1"/>
  <c r="J76" i="1"/>
  <c r="H76" i="1"/>
  <c r="P75" i="1"/>
  <c r="N75" i="1"/>
  <c r="L75" i="1"/>
  <c r="J75" i="1"/>
  <c r="H75" i="1"/>
  <c r="P74" i="1"/>
  <c r="N74" i="1"/>
  <c r="L74" i="1"/>
  <c r="J74" i="1"/>
  <c r="H74" i="1"/>
  <c r="P73" i="1"/>
  <c r="N73" i="1"/>
  <c r="L73" i="1"/>
  <c r="J73" i="1"/>
  <c r="H73" i="1"/>
  <c r="P72" i="1"/>
  <c r="N72" i="1"/>
  <c r="L72" i="1"/>
  <c r="J72" i="1"/>
  <c r="H72" i="1"/>
  <c r="P71" i="1"/>
  <c r="N71" i="1"/>
  <c r="L71" i="1"/>
  <c r="J71" i="1"/>
  <c r="H71" i="1"/>
  <c r="P70" i="1"/>
  <c r="N70" i="1"/>
  <c r="L70" i="1"/>
  <c r="J70" i="1"/>
  <c r="H70" i="1"/>
  <c r="P69" i="1"/>
  <c r="N69" i="1"/>
  <c r="L69" i="1"/>
  <c r="J69" i="1"/>
  <c r="H69" i="1"/>
  <c r="P68" i="1"/>
  <c r="P66" i="1"/>
  <c r="P67" i="1"/>
  <c r="N68" i="1"/>
  <c r="L68" i="1"/>
  <c r="J68" i="1"/>
  <c r="H68" i="1"/>
  <c r="N67" i="1"/>
  <c r="L67" i="1"/>
  <c r="J67" i="1"/>
  <c r="H67" i="1"/>
  <c r="D73" i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72" i="1"/>
  <c r="D71" i="1"/>
  <c r="D70" i="1"/>
  <c r="D69" i="1"/>
  <c r="D68" i="1"/>
  <c r="D67" i="1"/>
  <c r="N66" i="1"/>
  <c r="J51" i="1"/>
  <c r="F52" i="1"/>
  <c r="F51" i="1"/>
  <c r="F50" i="1"/>
  <c r="H50" i="1" s="1"/>
  <c r="B53" i="1"/>
  <c r="D52" i="1"/>
  <c r="D51" i="1"/>
  <c r="D50" i="1"/>
  <c r="P36" i="1"/>
  <c r="P35" i="1"/>
  <c r="P34" i="1"/>
  <c r="F22" i="1"/>
  <c r="F21" i="1"/>
  <c r="F20" i="1"/>
  <c r="H20" i="1" s="1"/>
  <c r="D21" i="1"/>
  <c r="D22" i="1"/>
  <c r="D20" i="1"/>
  <c r="B23" i="1"/>
  <c r="P6" i="1"/>
  <c r="P5" i="1"/>
  <c r="P4" i="1"/>
  <c r="H21" i="1" l="1"/>
  <c r="H22" i="1" s="1"/>
  <c r="C23" i="1"/>
  <c r="B24" i="1" s="1"/>
  <c r="C53" i="1"/>
  <c r="F53" i="1" s="1"/>
  <c r="D23" i="1"/>
  <c r="H51" i="1"/>
  <c r="B54" i="1" l="1"/>
  <c r="C54" i="1" s="1"/>
  <c r="F54" i="1" s="1"/>
  <c r="F23" i="1"/>
  <c r="H23" i="1" s="1"/>
  <c r="H52" i="1"/>
  <c r="K52" i="1" s="1"/>
  <c r="J53" i="1" s="1"/>
  <c r="K51" i="1"/>
  <c r="J52" i="1" s="1"/>
  <c r="C24" i="1"/>
  <c r="B25" i="1" s="1"/>
  <c r="F24" i="1"/>
  <c r="D53" i="1"/>
  <c r="H53" i="1" l="1"/>
  <c r="K53" i="1" s="1"/>
  <c r="J54" i="1" s="1"/>
  <c r="B55" i="1"/>
  <c r="C55" i="1" s="1"/>
  <c r="B56" i="1" s="1"/>
  <c r="C25" i="1"/>
  <c r="B26" i="1" s="1"/>
  <c r="F25" i="1"/>
  <c r="D24" i="1"/>
  <c r="H24" i="1"/>
  <c r="D54" i="1"/>
  <c r="D25" i="1" l="1"/>
  <c r="F55" i="1"/>
  <c r="H54" i="1"/>
  <c r="K54" i="1" s="1"/>
  <c r="J55" i="1" s="1"/>
  <c r="C56" i="1"/>
  <c r="F56" i="1" s="1"/>
  <c r="H25" i="1"/>
  <c r="C26" i="1"/>
  <c r="B27" i="1" s="1"/>
  <c r="D55" i="1"/>
  <c r="D26" i="1" l="1"/>
  <c r="B57" i="1"/>
  <c r="H55" i="1"/>
  <c r="K55" i="1" s="1"/>
  <c r="J56" i="1" s="1"/>
  <c r="F26" i="1"/>
  <c r="H26" i="1" s="1"/>
  <c r="C57" i="1"/>
  <c r="F57" i="1" s="1"/>
  <c r="C27" i="1"/>
  <c r="B28" i="1" s="1"/>
  <c r="D56" i="1"/>
  <c r="H56" i="1" l="1"/>
  <c r="K56" i="1" s="1"/>
  <c r="B58" i="1"/>
  <c r="D27" i="1"/>
  <c r="F27" i="1"/>
  <c r="H27" i="1" s="1"/>
  <c r="C28" i="1"/>
  <c r="B29" i="1" s="1"/>
  <c r="D57" i="1"/>
  <c r="F28" i="1" l="1"/>
  <c r="H28" i="1" s="1"/>
  <c r="D28" i="1"/>
  <c r="C58" i="1"/>
  <c r="B59" i="1" s="1"/>
  <c r="D58" i="1"/>
  <c r="H57" i="1"/>
  <c r="C59" i="1"/>
  <c r="F59" i="1" s="1"/>
  <c r="C29" i="1"/>
  <c r="D29" i="1" s="1"/>
  <c r="F58" i="1" l="1"/>
  <c r="F60" i="1" s="1"/>
  <c r="K57" i="1"/>
  <c r="F29" i="1"/>
  <c r="F30" i="1" s="1"/>
  <c r="D59" i="1"/>
  <c r="H58" i="1" l="1"/>
  <c r="H29" i="1"/>
  <c r="K58" i="1" l="1"/>
  <c r="H59" i="1"/>
</calcChain>
</file>

<file path=xl/sharedStrings.xml><?xml version="1.0" encoding="utf-8"?>
<sst xmlns="http://schemas.openxmlformats.org/spreadsheetml/2006/main" count="50" uniqueCount="29">
  <si>
    <t>Amostragem Tempo entre chegadas</t>
  </si>
  <si>
    <t>Tempo médio</t>
  </si>
  <si>
    <t>min</t>
  </si>
  <si>
    <t>Valor maximo</t>
  </si>
  <si>
    <t>Valor minimo</t>
  </si>
  <si>
    <t>classes</t>
  </si>
  <si>
    <t>ponto médio (xi)</t>
  </si>
  <si>
    <t>observações</t>
  </si>
  <si>
    <t>frequência acumulada</t>
  </si>
  <si>
    <t xml:space="preserve">intervalo de valores </t>
  </si>
  <si>
    <t>Distribuição de frequências</t>
  </si>
  <si>
    <t>Amostragem Tempo de serviços</t>
  </si>
  <si>
    <t>Total</t>
  </si>
  <si>
    <t>TEC</t>
  </si>
  <si>
    <t>Tempo de chegada no relógio</t>
  </si>
  <si>
    <t>Tempo de serviço</t>
  </si>
  <si>
    <t>Tempo de inicío de serviço no relogio</t>
  </si>
  <si>
    <t>Tempo clintes na fila</t>
  </si>
  <si>
    <t>Tempo final do serviço relógio</t>
  </si>
  <si>
    <t>Tempo do clinte no sistema</t>
  </si>
  <si>
    <t>Tempo livre do operador</t>
  </si>
  <si>
    <t>Cliente</t>
  </si>
  <si>
    <t>Tempo total de funcionamento do sistema</t>
  </si>
  <si>
    <t>Tempo médio em fila</t>
  </si>
  <si>
    <t>Probabilidade de pegar fila</t>
  </si>
  <si>
    <t>%</t>
  </si>
  <si>
    <t>Tempo médio de serviço</t>
  </si>
  <si>
    <t>Tempo de ocupação do atendente</t>
  </si>
  <si>
    <t>Taxa de ocupação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</si>
</sst>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66"/>
        <bgColor indexed="64"/>
      </patternFill>
    </fill>
  </fills>
  <borders count="3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0" borderId="1" xfId="0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0" fontId="2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9" xfId="0" applyFont="1" applyBorder="1" applyAlignment="1">
      <alignment horizontal="center" wrapText="1"/>
    </xf>
    <xf numFmtId="0" fontId="2" fillId="3" borderId="18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2" fillId="3" borderId="19" xfId="0" applyFont="1" applyFill="1" applyBorder="1" applyAlignment="1">
      <alignment horizontal="center" wrapText="1"/>
    </xf>
    <xf numFmtId="0" fontId="2" fillId="3" borderId="15" xfId="0" applyFont="1" applyFill="1" applyBorder="1" applyAlignment="1">
      <alignment horizontal="center" wrapText="1"/>
    </xf>
    <xf numFmtId="0" fontId="2" fillId="3" borderId="16" xfId="0" applyFont="1" applyFill="1" applyBorder="1" applyAlignment="1">
      <alignment horizontal="center" wrapText="1"/>
    </xf>
    <xf numFmtId="0" fontId="2" fillId="3" borderId="17" xfId="0" applyFont="1" applyFill="1" applyBorder="1" applyAlignment="1">
      <alignment horizontal="center" wrapText="1"/>
    </xf>
    <xf numFmtId="2" fontId="0" fillId="4" borderId="21" xfId="0" applyNumberFormat="1" applyFill="1" applyBorder="1"/>
    <xf numFmtId="0" fontId="0" fillId="4" borderId="22" xfId="0" applyFill="1" applyBorder="1"/>
    <xf numFmtId="0" fontId="0" fillId="4" borderId="20" xfId="0" applyFill="1" applyBorder="1"/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1" fillId="6" borderId="20" xfId="0" applyFont="1" applyFill="1" applyBorder="1" applyAlignment="1">
      <alignment horizontal="center"/>
    </xf>
    <xf numFmtId="0" fontId="1" fillId="6" borderId="22" xfId="0" applyFont="1" applyFill="1" applyBorder="1" applyAlignment="1">
      <alignment horizontal="center"/>
    </xf>
    <xf numFmtId="0" fontId="0" fillId="6" borderId="20" xfId="0" applyFill="1" applyBorder="1"/>
    <xf numFmtId="0" fontId="1" fillId="6" borderId="21" xfId="0" applyFont="1" applyFill="1" applyBorder="1" applyAlignment="1">
      <alignment horizontal="center"/>
    </xf>
    <xf numFmtId="0" fontId="0" fillId="6" borderId="22" xfId="0" applyFill="1" applyBorder="1"/>
    <xf numFmtId="0" fontId="0" fillId="3" borderId="30" xfId="0" applyFill="1" applyBorder="1" applyAlignment="1">
      <alignment horizontal="center"/>
    </xf>
    <xf numFmtId="0" fontId="0" fillId="6" borderId="21" xfId="0" applyFill="1" applyBorder="1"/>
    <xf numFmtId="0" fontId="0" fillId="7" borderId="11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1" fillId="2" borderId="33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/>
    </xf>
    <xf numFmtId="0" fontId="1" fillId="2" borderId="33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/>
    </xf>
    <xf numFmtId="0" fontId="1" fillId="6" borderId="22" xfId="0" applyFont="1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 wrapText="1"/>
    </xf>
    <xf numFmtId="0" fontId="4" fillId="5" borderId="22" xfId="0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35" xfId="0" applyFill="1" applyBorder="1" applyAlignment="1">
      <alignment horizontal="center"/>
    </xf>
    <xf numFmtId="0" fontId="0" fillId="0" borderId="36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1" fillId="6" borderId="20" xfId="0" applyFont="1" applyFill="1" applyBorder="1" applyAlignment="1">
      <alignment horizontal="center"/>
    </xf>
    <xf numFmtId="0" fontId="0" fillId="0" borderId="30" xfId="0" applyFill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7" xfId="0" applyFill="1" applyBorder="1" applyAlignment="1">
      <alignment horizontal="center"/>
    </xf>
    <xf numFmtId="0" fontId="0" fillId="0" borderId="38" xfId="0" applyFill="1" applyBorder="1" applyAlignment="1">
      <alignment horizontal="center"/>
    </xf>
    <xf numFmtId="2" fontId="0" fillId="4" borderId="2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4ECA3-7C4E-4F5F-B498-E3359FF56DAD}">
  <dimension ref="B1:X86"/>
  <sheetViews>
    <sheetView tabSelected="1" topLeftCell="B64" workbookViewId="0">
      <selection activeCell="V78" sqref="V78"/>
    </sheetView>
  </sheetViews>
  <sheetFormatPr defaultRowHeight="14.4" x14ac:dyDescent="0.3"/>
  <cols>
    <col min="1" max="1" width="5.6640625" customWidth="1"/>
    <col min="9" max="10" width="8.88671875" customWidth="1"/>
  </cols>
  <sheetData>
    <row r="1" spans="2:17" ht="15" thickBot="1" x14ac:dyDescent="0.35">
      <c r="B1" s="1"/>
      <c r="C1" s="1"/>
      <c r="D1" s="1"/>
      <c r="E1" s="1"/>
      <c r="F1" s="1"/>
      <c r="G1" s="1"/>
      <c r="H1" s="1"/>
      <c r="I1" s="1"/>
      <c r="J1" s="1"/>
      <c r="K1" s="1"/>
    </row>
    <row r="2" spans="2:17" ht="15" thickBot="1" x14ac:dyDescent="0.35">
      <c r="B2" s="2"/>
      <c r="C2" s="2"/>
      <c r="D2" s="2"/>
      <c r="E2" s="2"/>
      <c r="F2" s="2"/>
      <c r="G2" s="2"/>
      <c r="H2" s="2"/>
      <c r="I2" s="2"/>
      <c r="J2" s="2"/>
      <c r="K2" s="2"/>
    </row>
    <row r="3" spans="2:17" ht="15" thickBot="1" x14ac:dyDescent="0.35">
      <c r="B3" s="76" t="s">
        <v>0</v>
      </c>
      <c r="C3" s="77"/>
      <c r="D3" s="77"/>
      <c r="E3" s="77"/>
      <c r="F3" s="77"/>
      <c r="G3" s="77"/>
      <c r="H3" s="77"/>
      <c r="I3" s="77"/>
      <c r="J3" s="77"/>
      <c r="K3" s="78"/>
    </row>
    <row r="4" spans="2:17" ht="15" thickBot="1" x14ac:dyDescent="0.35">
      <c r="B4" s="79"/>
      <c r="C4" s="80"/>
      <c r="D4" s="80"/>
      <c r="E4" s="80"/>
      <c r="F4" s="80"/>
      <c r="G4" s="80"/>
      <c r="H4" s="80"/>
      <c r="I4" s="80"/>
      <c r="J4" s="80"/>
      <c r="K4" s="81"/>
      <c r="M4" s="82" t="s">
        <v>1</v>
      </c>
      <c r="N4" s="83"/>
      <c r="O4" s="84"/>
      <c r="P4" s="15">
        <f>SUM(B5:K14)/100</f>
        <v>3.6713999999999993</v>
      </c>
      <c r="Q4" s="16" t="s">
        <v>2</v>
      </c>
    </row>
    <row r="5" spans="2:17" ht="15" thickBot="1" x14ac:dyDescent="0.35">
      <c r="B5" s="3">
        <v>4.54</v>
      </c>
      <c r="C5" s="4">
        <v>9.31</v>
      </c>
      <c r="D5" s="4">
        <v>0.36</v>
      </c>
      <c r="E5" s="4">
        <v>4.1100000000000003</v>
      </c>
      <c r="F5" s="4">
        <v>3.24</v>
      </c>
      <c r="G5" s="4">
        <v>4.26</v>
      </c>
      <c r="H5" s="4">
        <v>5.12</v>
      </c>
      <c r="I5" s="4">
        <v>1.38</v>
      </c>
      <c r="J5" s="4">
        <v>4.51</v>
      </c>
      <c r="K5" s="5">
        <v>0.24</v>
      </c>
      <c r="M5" s="82" t="s">
        <v>3</v>
      </c>
      <c r="N5" s="83"/>
      <c r="O5" s="84"/>
      <c r="P5" s="17">
        <f>MAX(B5:K14)</f>
        <v>14.24</v>
      </c>
      <c r="Q5" s="16" t="s">
        <v>2</v>
      </c>
    </row>
    <row r="6" spans="2:17" ht="15" thickBot="1" x14ac:dyDescent="0.35">
      <c r="B6" s="9">
        <v>3.62</v>
      </c>
      <c r="C6" s="10">
        <v>9.82</v>
      </c>
      <c r="D6" s="10">
        <v>1.95</v>
      </c>
      <c r="E6" s="10">
        <v>3.3</v>
      </c>
      <c r="F6" s="10">
        <v>2.06</v>
      </c>
      <c r="G6" s="10">
        <v>1.85</v>
      </c>
      <c r="H6" s="10">
        <v>2.58</v>
      </c>
      <c r="I6" s="10">
        <v>5.79</v>
      </c>
      <c r="J6" s="10">
        <v>2.5499999999999998</v>
      </c>
      <c r="K6" s="11">
        <v>8.7899999999999991</v>
      </c>
      <c r="M6" s="82" t="s">
        <v>4</v>
      </c>
      <c r="N6" s="83"/>
      <c r="O6" s="84"/>
      <c r="P6" s="17">
        <f>MIN(B5:K14)</f>
        <v>0.08</v>
      </c>
      <c r="Q6" s="16" t="s">
        <v>2</v>
      </c>
    </row>
    <row r="7" spans="2:17" x14ac:dyDescent="0.3">
      <c r="B7" s="6">
        <v>5.32</v>
      </c>
      <c r="C7" s="7">
        <v>1.98</v>
      </c>
      <c r="D7" s="7">
        <v>3.88</v>
      </c>
      <c r="E7" s="7">
        <v>0.92</v>
      </c>
      <c r="F7" s="7">
        <v>0.99</v>
      </c>
      <c r="G7" s="7">
        <v>0.57999999999999996</v>
      </c>
      <c r="H7" s="7">
        <v>1.52</v>
      </c>
      <c r="I7" s="7">
        <v>11.84</v>
      </c>
      <c r="J7" s="7">
        <v>5.27</v>
      </c>
      <c r="K7" s="8">
        <v>5.85</v>
      </c>
    </row>
    <row r="8" spans="2:17" x14ac:dyDescent="0.3">
      <c r="B8" s="9">
        <v>0.21</v>
      </c>
      <c r="C8" s="10">
        <v>1.35</v>
      </c>
      <c r="D8" s="10">
        <v>6.05</v>
      </c>
      <c r="E8" s="10">
        <v>7.29</v>
      </c>
      <c r="F8" s="10">
        <v>1.29</v>
      </c>
      <c r="G8" s="10">
        <v>4.87</v>
      </c>
      <c r="H8" s="10">
        <v>4.3</v>
      </c>
      <c r="I8" s="10">
        <v>2.86</v>
      </c>
      <c r="J8" s="10">
        <v>0.13</v>
      </c>
      <c r="K8" s="11">
        <v>0.84</v>
      </c>
    </row>
    <row r="9" spans="2:17" x14ac:dyDescent="0.3">
      <c r="B9" s="6">
        <v>11.04</v>
      </c>
      <c r="C9" s="7">
        <v>13.27</v>
      </c>
      <c r="D9" s="7">
        <v>2.13</v>
      </c>
      <c r="E9" s="7">
        <v>0.6</v>
      </c>
      <c r="F9" s="7">
        <v>2.77</v>
      </c>
      <c r="G9" s="7">
        <v>3.99</v>
      </c>
      <c r="H9" s="7">
        <v>1.47</v>
      </c>
      <c r="I9" s="7">
        <v>5.38</v>
      </c>
      <c r="J9" s="7">
        <v>2.2599999999999998</v>
      </c>
      <c r="K9" s="8">
        <v>0.08</v>
      </c>
    </row>
    <row r="10" spans="2:17" x14ac:dyDescent="0.3">
      <c r="B10" s="9">
        <v>6.02</v>
      </c>
      <c r="C10" s="10">
        <v>4.0199999999999996</v>
      </c>
      <c r="D10" s="10">
        <v>5.51</v>
      </c>
      <c r="E10" s="10">
        <v>2.82</v>
      </c>
      <c r="F10" s="10">
        <v>4.17</v>
      </c>
      <c r="G10" s="10">
        <v>0.47</v>
      </c>
      <c r="H10" s="10">
        <v>1.87</v>
      </c>
      <c r="I10" s="10">
        <v>2.72</v>
      </c>
      <c r="J10" s="10">
        <v>0.31</v>
      </c>
      <c r="K10" s="11">
        <v>5.99</v>
      </c>
    </row>
    <row r="11" spans="2:17" x14ac:dyDescent="0.3">
      <c r="B11" s="6">
        <v>3.62</v>
      </c>
      <c r="C11" s="7">
        <v>8.14</v>
      </c>
      <c r="D11" s="7">
        <v>0.34</v>
      </c>
      <c r="E11" s="7">
        <v>9.3800000000000008</v>
      </c>
      <c r="F11" s="7">
        <v>1</v>
      </c>
      <c r="G11" s="7">
        <v>14.24</v>
      </c>
      <c r="H11" s="7">
        <v>9.99</v>
      </c>
      <c r="I11" s="7">
        <v>1.63</v>
      </c>
      <c r="J11" s="7">
        <v>1.03</v>
      </c>
      <c r="K11" s="8">
        <v>2.67</v>
      </c>
    </row>
    <row r="12" spans="2:17" x14ac:dyDescent="0.3">
      <c r="B12" s="9">
        <v>0.14000000000000001</v>
      </c>
      <c r="C12" s="10">
        <v>3.48</v>
      </c>
      <c r="D12" s="10">
        <v>2.68</v>
      </c>
      <c r="E12" s="10">
        <v>0.91</v>
      </c>
      <c r="F12" s="10">
        <v>4.34</v>
      </c>
      <c r="G12" s="10">
        <v>0.25</v>
      </c>
      <c r="H12" s="10">
        <v>1.61</v>
      </c>
      <c r="I12" s="10">
        <v>0.95</v>
      </c>
      <c r="J12" s="10">
        <v>1.42</v>
      </c>
      <c r="K12" s="11">
        <v>1.1599999999999999</v>
      </c>
    </row>
    <row r="13" spans="2:17" x14ac:dyDescent="0.3">
      <c r="B13" s="6">
        <v>9.49</v>
      </c>
      <c r="C13" s="7">
        <v>9.5</v>
      </c>
      <c r="D13" s="7">
        <v>1.03</v>
      </c>
      <c r="E13" s="7">
        <v>5.19</v>
      </c>
      <c r="F13" s="7">
        <v>5.77</v>
      </c>
      <c r="G13" s="7">
        <v>0.54</v>
      </c>
      <c r="H13" s="7">
        <v>5.91</v>
      </c>
      <c r="I13" s="7">
        <v>0.4</v>
      </c>
      <c r="J13" s="7">
        <v>4.46</v>
      </c>
      <c r="K13" s="8">
        <v>4.71</v>
      </c>
    </row>
    <row r="14" spans="2:17" ht="15" thickBot="1" x14ac:dyDescent="0.35">
      <c r="B14" s="12">
        <v>4.95</v>
      </c>
      <c r="C14" s="13">
        <v>1.45</v>
      </c>
      <c r="D14" s="13">
        <v>0.52</v>
      </c>
      <c r="E14" s="13">
        <v>0.21</v>
      </c>
      <c r="F14" s="13">
        <v>2.31</v>
      </c>
      <c r="G14" s="13">
        <v>7.55</v>
      </c>
      <c r="H14" s="13">
        <v>3.4</v>
      </c>
      <c r="I14" s="13">
        <v>2.42</v>
      </c>
      <c r="J14" s="13">
        <v>1.26</v>
      </c>
      <c r="K14" s="14">
        <v>3.48</v>
      </c>
    </row>
    <row r="16" spans="2:17" ht="15" thickBot="1" x14ac:dyDescent="0.35"/>
    <row r="17" spans="2:11" x14ac:dyDescent="0.3">
      <c r="B17" s="85" t="s">
        <v>10</v>
      </c>
      <c r="C17" s="86"/>
      <c r="D17" s="86"/>
      <c r="E17" s="86"/>
      <c r="F17" s="86"/>
      <c r="G17" s="86"/>
      <c r="H17" s="86"/>
      <c r="I17" s="86"/>
      <c r="J17" s="86"/>
      <c r="K17" s="87"/>
    </row>
    <row r="18" spans="2:11" ht="14.4" customHeight="1" thickBot="1" x14ac:dyDescent="0.35">
      <c r="B18" s="88"/>
      <c r="C18" s="89"/>
      <c r="D18" s="89"/>
      <c r="E18" s="89"/>
      <c r="F18" s="89"/>
      <c r="G18" s="89"/>
      <c r="H18" s="89"/>
      <c r="I18" s="89"/>
      <c r="J18" s="89"/>
      <c r="K18" s="90"/>
    </row>
    <row r="19" spans="2:11" ht="20.399999999999999" customHeight="1" thickBot="1" x14ac:dyDescent="0.35">
      <c r="B19" s="91" t="s">
        <v>5</v>
      </c>
      <c r="C19" s="92"/>
      <c r="D19" s="91" t="s">
        <v>6</v>
      </c>
      <c r="E19" s="92"/>
      <c r="F19" s="91" t="s">
        <v>7</v>
      </c>
      <c r="G19" s="92"/>
      <c r="H19" s="93" t="s">
        <v>8</v>
      </c>
      <c r="I19" s="94"/>
      <c r="J19" s="91" t="s">
        <v>9</v>
      </c>
      <c r="K19" s="92"/>
    </row>
    <row r="20" spans="2:11" x14ac:dyDescent="0.3">
      <c r="B20" s="21">
        <v>0</v>
      </c>
      <c r="C20" s="22">
        <v>1.5</v>
      </c>
      <c r="D20" s="71">
        <f>SUM(B20,C20)/2</f>
        <v>0.75</v>
      </c>
      <c r="E20" s="71"/>
      <c r="F20" s="98">
        <f>COUNTIFS($B$5:$K$14,"&gt;="&amp;B20,$B$5:$K$14,"&lt;="&amp;C20)</f>
        <v>32</v>
      </c>
      <c r="G20" s="98"/>
      <c r="H20" s="75">
        <f>F20/100</f>
        <v>0.32</v>
      </c>
      <c r="I20" s="75"/>
      <c r="J20" s="22">
        <v>0.01</v>
      </c>
      <c r="K20" s="27">
        <v>0.32</v>
      </c>
    </row>
    <row r="21" spans="2:11" x14ac:dyDescent="0.3">
      <c r="B21" s="23">
        <v>1.5</v>
      </c>
      <c r="C21" s="18">
        <v>3</v>
      </c>
      <c r="D21" s="59">
        <f t="shared" ref="D21:D29" si="0">SUM(B21,C21)/2</f>
        <v>2.25</v>
      </c>
      <c r="E21" s="59"/>
      <c r="F21" s="66">
        <f>COUNTIFS($B$5:$K$14,"&gt;"&amp;B21,$B$5:$K$14,"&lt;="&amp;C21)</f>
        <v>20</v>
      </c>
      <c r="G21" s="66"/>
      <c r="H21" s="70">
        <f>H20 + (F21/100)</f>
        <v>0.52</v>
      </c>
      <c r="I21" s="70"/>
      <c r="J21" s="18">
        <v>0.33</v>
      </c>
      <c r="K21" s="28">
        <v>0.52</v>
      </c>
    </row>
    <row r="22" spans="2:11" x14ac:dyDescent="0.3">
      <c r="B22" s="24">
        <v>3</v>
      </c>
      <c r="C22" s="20">
        <v>4.5</v>
      </c>
      <c r="D22" s="59">
        <f t="shared" si="0"/>
        <v>3.75</v>
      </c>
      <c r="E22" s="59"/>
      <c r="F22" s="95">
        <f>COUNTIFS($B$5:$K$14,"&gt;"&amp;B22,$B$5:$K$14,"&lt;="&amp;C22)</f>
        <v>16</v>
      </c>
      <c r="G22" s="95"/>
      <c r="H22" s="63">
        <f t="shared" ref="H22:H29" si="1">H21 + (F22/100)</f>
        <v>0.68</v>
      </c>
      <c r="I22" s="63"/>
      <c r="J22" s="20">
        <v>0.53</v>
      </c>
      <c r="K22" s="29">
        <v>0.68</v>
      </c>
    </row>
    <row r="23" spans="2:11" x14ac:dyDescent="0.3">
      <c r="B23" s="23">
        <f>C22</f>
        <v>4.5</v>
      </c>
      <c r="C23" s="18">
        <f>B23+1.5</f>
        <v>6</v>
      </c>
      <c r="D23" s="59">
        <f t="shared" si="0"/>
        <v>5.25</v>
      </c>
      <c r="E23" s="59"/>
      <c r="F23" s="66">
        <f t="shared" ref="F23:F29" si="2">COUNTIFS($B$5:$K$14,"&gt;"&amp;B23,$B$5:$K$14,"&lt;="&amp;C23)</f>
        <v>16</v>
      </c>
      <c r="G23" s="66"/>
      <c r="H23" s="70">
        <f t="shared" si="1"/>
        <v>0.84000000000000008</v>
      </c>
      <c r="I23" s="70"/>
      <c r="J23" s="18">
        <v>0.69</v>
      </c>
      <c r="K23" s="28">
        <v>0.84</v>
      </c>
    </row>
    <row r="24" spans="2:11" x14ac:dyDescent="0.3">
      <c r="B24" s="24">
        <f t="shared" ref="B24:B29" si="3">C23</f>
        <v>6</v>
      </c>
      <c r="C24" s="20">
        <f t="shared" ref="C24:C29" si="4">B24+1.5</f>
        <v>7.5</v>
      </c>
      <c r="D24" s="59">
        <f t="shared" si="0"/>
        <v>6.75</v>
      </c>
      <c r="E24" s="59"/>
      <c r="F24" s="95">
        <f t="shared" si="2"/>
        <v>3</v>
      </c>
      <c r="G24" s="95"/>
      <c r="H24" s="63">
        <f t="shared" si="1"/>
        <v>0.87000000000000011</v>
      </c>
      <c r="I24" s="63"/>
      <c r="J24" s="20">
        <v>0.85</v>
      </c>
      <c r="K24" s="29">
        <v>0.87</v>
      </c>
    </row>
    <row r="25" spans="2:11" x14ac:dyDescent="0.3">
      <c r="B25" s="23">
        <f t="shared" si="3"/>
        <v>7.5</v>
      </c>
      <c r="C25" s="18">
        <f t="shared" si="4"/>
        <v>9</v>
      </c>
      <c r="D25" s="59">
        <f t="shared" si="0"/>
        <v>8.25</v>
      </c>
      <c r="E25" s="59"/>
      <c r="F25" s="66">
        <f t="shared" si="2"/>
        <v>3</v>
      </c>
      <c r="G25" s="66"/>
      <c r="H25" s="70">
        <f t="shared" si="1"/>
        <v>0.90000000000000013</v>
      </c>
      <c r="I25" s="70"/>
      <c r="J25" s="18">
        <v>0.88</v>
      </c>
      <c r="K25" s="28">
        <v>0.9</v>
      </c>
    </row>
    <row r="26" spans="2:11" x14ac:dyDescent="0.3">
      <c r="B26" s="24">
        <f t="shared" si="3"/>
        <v>9</v>
      </c>
      <c r="C26" s="20">
        <f t="shared" si="4"/>
        <v>10.5</v>
      </c>
      <c r="D26" s="59">
        <f t="shared" si="0"/>
        <v>9.75</v>
      </c>
      <c r="E26" s="59"/>
      <c r="F26" s="95">
        <f t="shared" si="2"/>
        <v>6</v>
      </c>
      <c r="G26" s="95"/>
      <c r="H26" s="63">
        <f t="shared" si="1"/>
        <v>0.96000000000000019</v>
      </c>
      <c r="I26" s="63"/>
      <c r="J26" s="20">
        <v>0.91</v>
      </c>
      <c r="K26" s="29">
        <v>0.96</v>
      </c>
    </row>
    <row r="27" spans="2:11" x14ac:dyDescent="0.3">
      <c r="B27" s="23">
        <f t="shared" si="3"/>
        <v>10.5</v>
      </c>
      <c r="C27" s="18">
        <f t="shared" si="4"/>
        <v>12</v>
      </c>
      <c r="D27" s="59">
        <f t="shared" si="0"/>
        <v>11.25</v>
      </c>
      <c r="E27" s="59"/>
      <c r="F27" s="66">
        <f t="shared" si="2"/>
        <v>2</v>
      </c>
      <c r="G27" s="66"/>
      <c r="H27" s="70">
        <f t="shared" si="1"/>
        <v>0.9800000000000002</v>
      </c>
      <c r="I27" s="70"/>
      <c r="J27" s="18">
        <v>0.97</v>
      </c>
      <c r="K27" s="28">
        <v>0.98</v>
      </c>
    </row>
    <row r="28" spans="2:11" x14ac:dyDescent="0.3">
      <c r="B28" s="24">
        <f t="shared" si="3"/>
        <v>12</v>
      </c>
      <c r="C28" s="20">
        <f t="shared" si="4"/>
        <v>13.5</v>
      </c>
      <c r="D28" s="59">
        <f t="shared" si="0"/>
        <v>12.75</v>
      </c>
      <c r="E28" s="59"/>
      <c r="F28" s="95">
        <f t="shared" si="2"/>
        <v>1</v>
      </c>
      <c r="G28" s="95"/>
      <c r="H28" s="63">
        <f t="shared" si="1"/>
        <v>0.99000000000000021</v>
      </c>
      <c r="I28" s="63"/>
      <c r="J28" s="20">
        <v>0.99</v>
      </c>
      <c r="K28" s="29">
        <v>0.99</v>
      </c>
    </row>
    <row r="29" spans="2:11" ht="15" thickBot="1" x14ac:dyDescent="0.35">
      <c r="B29" s="25">
        <f t="shared" si="3"/>
        <v>13.5</v>
      </c>
      <c r="C29" s="26">
        <f t="shared" si="4"/>
        <v>15</v>
      </c>
      <c r="D29" s="64">
        <f t="shared" si="0"/>
        <v>14.25</v>
      </c>
      <c r="E29" s="64"/>
      <c r="F29" s="96">
        <f t="shared" si="2"/>
        <v>1</v>
      </c>
      <c r="G29" s="96"/>
      <c r="H29" s="97">
        <f t="shared" si="1"/>
        <v>1.0000000000000002</v>
      </c>
      <c r="I29" s="97"/>
      <c r="J29" s="26">
        <v>0</v>
      </c>
      <c r="K29" s="30">
        <v>0</v>
      </c>
    </row>
    <row r="30" spans="2:11" ht="15" thickBot="1" x14ac:dyDescent="0.35">
      <c r="B30" s="31" t="s">
        <v>12</v>
      </c>
      <c r="C30" s="33"/>
      <c r="D30" s="33"/>
      <c r="E30" s="35"/>
      <c r="F30" s="54">
        <f>SUM(F20:G29)</f>
        <v>100</v>
      </c>
      <c r="G30" s="55"/>
      <c r="H30" s="56"/>
      <c r="I30" s="57"/>
      <c r="J30" s="56"/>
      <c r="K30" s="57"/>
    </row>
    <row r="32" spans="2:11" ht="15" thickBot="1" x14ac:dyDescent="0.35"/>
    <row r="33" spans="2:17" ht="15" thickBot="1" x14ac:dyDescent="0.35">
      <c r="B33" s="76" t="s">
        <v>11</v>
      </c>
      <c r="C33" s="77"/>
      <c r="D33" s="77"/>
      <c r="E33" s="77"/>
      <c r="F33" s="77"/>
      <c r="G33" s="77"/>
      <c r="H33" s="77"/>
      <c r="I33" s="77"/>
      <c r="J33" s="77"/>
      <c r="K33" s="78"/>
    </row>
    <row r="34" spans="2:17" ht="15" thickBot="1" x14ac:dyDescent="0.35">
      <c r="B34" s="79"/>
      <c r="C34" s="80"/>
      <c r="D34" s="80"/>
      <c r="E34" s="80"/>
      <c r="F34" s="80"/>
      <c r="G34" s="80"/>
      <c r="H34" s="80"/>
      <c r="I34" s="80"/>
      <c r="J34" s="80"/>
      <c r="K34" s="81"/>
      <c r="M34" s="82" t="s">
        <v>1</v>
      </c>
      <c r="N34" s="83"/>
      <c r="O34" s="84"/>
      <c r="P34" s="15">
        <f>SUM(B35:K44)/100</f>
        <v>2.7061000000000002</v>
      </c>
      <c r="Q34" s="16" t="s">
        <v>2</v>
      </c>
    </row>
    <row r="35" spans="2:17" ht="15" thickBot="1" x14ac:dyDescent="0.35">
      <c r="B35" s="3">
        <v>0.65</v>
      </c>
      <c r="C35" s="4">
        <v>3.76</v>
      </c>
      <c r="D35" s="4">
        <v>0.59</v>
      </c>
      <c r="E35" s="4">
        <v>0.71</v>
      </c>
      <c r="F35" s="4">
        <v>0.89</v>
      </c>
      <c r="G35" s="4">
        <v>2</v>
      </c>
      <c r="H35" s="4">
        <v>8.59</v>
      </c>
      <c r="I35" s="4">
        <v>1.32</v>
      </c>
      <c r="J35" s="4">
        <v>1.27</v>
      </c>
      <c r="K35" s="5">
        <v>0.85</v>
      </c>
      <c r="M35" s="82" t="s">
        <v>3</v>
      </c>
      <c r="N35" s="83"/>
      <c r="O35" s="84"/>
      <c r="P35" s="17">
        <f>MAX(B35:K44)</f>
        <v>18.920000000000002</v>
      </c>
      <c r="Q35" s="16" t="s">
        <v>2</v>
      </c>
    </row>
    <row r="36" spans="2:17" ht="15" thickBot="1" x14ac:dyDescent="0.35">
      <c r="B36" s="9">
        <v>5.0599999999999996</v>
      </c>
      <c r="C36" s="10">
        <v>4.3600000000000003</v>
      </c>
      <c r="D36" s="10">
        <v>1.62</v>
      </c>
      <c r="E36" s="10">
        <v>5.98</v>
      </c>
      <c r="F36" s="10">
        <v>0.38</v>
      </c>
      <c r="G36" s="10">
        <v>3.45</v>
      </c>
      <c r="H36" s="10">
        <v>3.36</v>
      </c>
      <c r="I36" s="10">
        <v>4.63</v>
      </c>
      <c r="J36" s="10">
        <v>3.07</v>
      </c>
      <c r="K36" s="11">
        <v>0.02</v>
      </c>
      <c r="M36" s="82" t="s">
        <v>4</v>
      </c>
      <c r="N36" s="83"/>
      <c r="O36" s="84"/>
      <c r="P36" s="17">
        <f>MIN(B35:K44)</f>
        <v>0</v>
      </c>
      <c r="Q36" s="16" t="s">
        <v>2</v>
      </c>
    </row>
    <row r="37" spans="2:17" x14ac:dyDescent="0.3">
      <c r="B37" s="6">
        <v>1.0900000000000001</v>
      </c>
      <c r="C37" s="7">
        <v>2.42</v>
      </c>
      <c r="D37" s="7">
        <v>0.26</v>
      </c>
      <c r="E37" s="7">
        <v>5.71</v>
      </c>
      <c r="F37" s="7">
        <v>12.09</v>
      </c>
      <c r="G37" s="7">
        <v>1.6</v>
      </c>
      <c r="H37" s="7">
        <v>5.79</v>
      </c>
      <c r="I37" s="7">
        <v>2.12</v>
      </c>
      <c r="J37" s="7">
        <v>0.87</v>
      </c>
      <c r="K37" s="8">
        <v>0.21</v>
      </c>
    </row>
    <row r="38" spans="2:17" x14ac:dyDescent="0.3">
      <c r="B38" s="9">
        <v>1.33</v>
      </c>
      <c r="C38" s="10">
        <v>4.0199999999999996</v>
      </c>
      <c r="D38" s="10">
        <v>1.59</v>
      </c>
      <c r="E38" s="10">
        <v>2.76</v>
      </c>
      <c r="F38" s="10">
        <v>3.48</v>
      </c>
      <c r="G38" s="10">
        <v>1.1299999999999999</v>
      </c>
      <c r="H38" s="10">
        <v>1.77</v>
      </c>
      <c r="I38" s="10">
        <v>1.17</v>
      </c>
      <c r="J38" s="10">
        <v>2.94</v>
      </c>
      <c r="K38" s="11">
        <v>1.4</v>
      </c>
    </row>
    <row r="39" spans="2:17" x14ac:dyDescent="0.3">
      <c r="B39" s="6">
        <v>1.41</v>
      </c>
      <c r="C39" s="7">
        <v>7.85</v>
      </c>
      <c r="D39" s="7">
        <v>1.36</v>
      </c>
      <c r="E39" s="7">
        <v>1.48</v>
      </c>
      <c r="F39" s="7">
        <v>2.06</v>
      </c>
      <c r="G39" s="7">
        <v>0</v>
      </c>
      <c r="H39" s="7">
        <v>1.94</v>
      </c>
      <c r="I39" s="7">
        <v>3.37</v>
      </c>
      <c r="J39" s="7">
        <v>7.27</v>
      </c>
      <c r="K39" s="8">
        <v>0.11</v>
      </c>
    </row>
    <row r="40" spans="2:17" x14ac:dyDescent="0.3">
      <c r="B40" s="9">
        <v>1.38</v>
      </c>
      <c r="C40" s="10">
        <v>2.02</v>
      </c>
      <c r="D40" s="10">
        <v>0.78</v>
      </c>
      <c r="E40" s="10">
        <v>5.57</v>
      </c>
      <c r="F40" s="10">
        <v>1.1299999999999999</v>
      </c>
      <c r="G40" s="10">
        <v>0.44</v>
      </c>
      <c r="H40" s="10">
        <v>0.51</v>
      </c>
      <c r="I40" s="10">
        <v>0.01</v>
      </c>
      <c r="J40" s="10">
        <v>5.65</v>
      </c>
      <c r="K40" s="11">
        <v>3.25</v>
      </c>
    </row>
    <row r="41" spans="2:17" x14ac:dyDescent="0.3">
      <c r="B41" s="6">
        <v>0.54</v>
      </c>
      <c r="C41" s="7">
        <v>0.7</v>
      </c>
      <c r="D41" s="7">
        <v>1.1299999999999999</v>
      </c>
      <c r="E41" s="7">
        <v>11.65</v>
      </c>
      <c r="F41" s="7">
        <v>1.6</v>
      </c>
      <c r="G41" s="7">
        <v>1.22</v>
      </c>
      <c r="H41" s="7">
        <v>0.72</v>
      </c>
      <c r="I41" s="7">
        <v>1.1499999999999999</v>
      </c>
      <c r="J41" s="7">
        <v>2.02</v>
      </c>
      <c r="K41" s="8">
        <v>3.76</v>
      </c>
    </row>
    <row r="42" spans="2:17" x14ac:dyDescent="0.3">
      <c r="B42" s="9">
        <v>2.66</v>
      </c>
      <c r="C42" s="10">
        <v>7.81</v>
      </c>
      <c r="D42" s="10">
        <v>2.61</v>
      </c>
      <c r="E42" s="10">
        <v>0.63</v>
      </c>
      <c r="F42" s="10">
        <v>0.21</v>
      </c>
      <c r="G42" s="10">
        <v>5.16</v>
      </c>
      <c r="H42" s="10">
        <v>5.46</v>
      </c>
      <c r="I42" s="10">
        <v>0.43</v>
      </c>
      <c r="J42" s="10">
        <v>0.38</v>
      </c>
      <c r="K42" s="11">
        <v>2.2000000000000002</v>
      </c>
    </row>
    <row r="43" spans="2:17" x14ac:dyDescent="0.3">
      <c r="B43" s="6">
        <v>0.52</v>
      </c>
      <c r="C43" s="7">
        <v>2.11</v>
      </c>
      <c r="D43" s="7">
        <v>1.44</v>
      </c>
      <c r="E43" s="7">
        <v>0.52</v>
      </c>
      <c r="F43" s="7">
        <v>7.4</v>
      </c>
      <c r="G43" s="7">
        <v>3.83</v>
      </c>
      <c r="H43" s="7">
        <v>1.84</v>
      </c>
      <c r="I43" s="7">
        <v>3.91</v>
      </c>
      <c r="J43" s="7">
        <v>0.4</v>
      </c>
      <c r="K43" s="8">
        <v>2.3199999999999998</v>
      </c>
    </row>
    <row r="44" spans="2:17" ht="15" thickBot="1" x14ac:dyDescent="0.35">
      <c r="B44" s="12">
        <v>18.920000000000002</v>
      </c>
      <c r="C44" s="13">
        <v>0.16</v>
      </c>
      <c r="D44" s="13">
        <v>7.73</v>
      </c>
      <c r="E44" s="13">
        <v>2.63</v>
      </c>
      <c r="F44" s="13">
        <v>1.54</v>
      </c>
      <c r="G44" s="13">
        <v>1.02</v>
      </c>
      <c r="H44" s="13">
        <v>3.55</v>
      </c>
      <c r="I44" s="13">
        <v>1.77</v>
      </c>
      <c r="J44" s="13">
        <v>1.5</v>
      </c>
      <c r="K44" s="14">
        <v>1.56</v>
      </c>
    </row>
    <row r="46" spans="2:17" ht="15" thickBot="1" x14ac:dyDescent="0.35"/>
    <row r="47" spans="2:17" x14ac:dyDescent="0.3">
      <c r="B47" s="85" t="s">
        <v>10</v>
      </c>
      <c r="C47" s="86"/>
      <c r="D47" s="86"/>
      <c r="E47" s="86"/>
      <c r="F47" s="86"/>
      <c r="G47" s="86"/>
      <c r="H47" s="86"/>
      <c r="I47" s="86"/>
      <c r="J47" s="86"/>
      <c r="K47" s="87"/>
    </row>
    <row r="48" spans="2:17" ht="15" thickBot="1" x14ac:dyDescent="0.35">
      <c r="B48" s="88"/>
      <c r="C48" s="89"/>
      <c r="D48" s="89"/>
      <c r="E48" s="89"/>
      <c r="F48" s="89"/>
      <c r="G48" s="89"/>
      <c r="H48" s="89"/>
      <c r="I48" s="89"/>
      <c r="J48" s="89"/>
      <c r="K48" s="90"/>
    </row>
    <row r="49" spans="2:17" ht="15" thickBot="1" x14ac:dyDescent="0.35">
      <c r="B49" s="91" t="s">
        <v>5</v>
      </c>
      <c r="C49" s="92"/>
      <c r="D49" s="91" t="s">
        <v>6</v>
      </c>
      <c r="E49" s="92"/>
      <c r="F49" s="91" t="s">
        <v>7</v>
      </c>
      <c r="G49" s="92"/>
      <c r="H49" s="93" t="s">
        <v>8</v>
      </c>
      <c r="I49" s="94"/>
      <c r="J49" s="91" t="s">
        <v>9</v>
      </c>
      <c r="K49" s="92"/>
    </row>
    <row r="50" spans="2:17" x14ac:dyDescent="0.3">
      <c r="B50" s="21">
        <v>0</v>
      </c>
      <c r="C50" s="22">
        <v>2</v>
      </c>
      <c r="D50" s="71">
        <f>SUM(B50,C50)/2</f>
        <v>1</v>
      </c>
      <c r="E50" s="72"/>
      <c r="F50" s="73">
        <f>COUNTIFS($B$35:$K$44,"&gt;="&amp;B50,$B$35:$K$44,"&lt;="&amp;C50)</f>
        <v>56</v>
      </c>
      <c r="G50" s="73"/>
      <c r="H50" s="74">
        <f>F50/100</f>
        <v>0.56000000000000005</v>
      </c>
      <c r="I50" s="75"/>
      <c r="J50" s="22">
        <v>0.01</v>
      </c>
      <c r="K50" s="27">
        <v>0.56000000000000005</v>
      </c>
    </row>
    <row r="51" spans="2:17" x14ac:dyDescent="0.3">
      <c r="B51" s="23">
        <v>2</v>
      </c>
      <c r="C51" s="18">
        <v>4</v>
      </c>
      <c r="D51" s="59">
        <f t="shared" ref="D51:D59" si="5">SUM(B51,C51)/2</f>
        <v>3</v>
      </c>
      <c r="E51" s="60"/>
      <c r="F51" s="66">
        <f>COUNTIFS($B$35:$K$44,"&gt;"&amp;B51,$B$35:$K$44,"&lt;="&amp;C51)</f>
        <v>24</v>
      </c>
      <c r="G51" s="66"/>
      <c r="H51" s="69">
        <f>H50 + (F51/100)</f>
        <v>0.8</v>
      </c>
      <c r="I51" s="70"/>
      <c r="J51" s="18">
        <f>K50+0.01</f>
        <v>0.57000000000000006</v>
      </c>
      <c r="K51" s="28">
        <f>H51</f>
        <v>0.8</v>
      </c>
    </row>
    <row r="52" spans="2:17" x14ac:dyDescent="0.3">
      <c r="B52" s="24">
        <v>4</v>
      </c>
      <c r="C52" s="20">
        <v>6</v>
      </c>
      <c r="D52" s="59">
        <f t="shared" si="5"/>
        <v>5</v>
      </c>
      <c r="E52" s="60"/>
      <c r="F52" s="61">
        <f t="shared" ref="F52:F59" si="6">COUNTIFS($B$35:$K$44,"&gt;"&amp;B52,$B$35:$K$44,"&lt;="&amp;C52)</f>
        <v>11</v>
      </c>
      <c r="G52" s="61"/>
      <c r="H52" s="62">
        <f t="shared" ref="H52:H59" si="7">H51 + (F52/100)</f>
        <v>0.91</v>
      </c>
      <c r="I52" s="63"/>
      <c r="J52" s="18">
        <f t="shared" ref="J52:J56" si="8">K51+0.01</f>
        <v>0.81</v>
      </c>
      <c r="K52" s="28">
        <f t="shared" ref="K52:K58" si="9">H52</f>
        <v>0.91</v>
      </c>
    </row>
    <row r="53" spans="2:17" x14ac:dyDescent="0.3">
      <c r="B53" s="23">
        <f>C52</f>
        <v>6</v>
      </c>
      <c r="C53" s="18">
        <f>B53+2</f>
        <v>8</v>
      </c>
      <c r="D53" s="59">
        <f t="shared" si="5"/>
        <v>7</v>
      </c>
      <c r="E53" s="60"/>
      <c r="F53" s="66">
        <f t="shared" si="6"/>
        <v>5</v>
      </c>
      <c r="G53" s="66"/>
      <c r="H53" s="69">
        <f t="shared" si="7"/>
        <v>0.96000000000000008</v>
      </c>
      <c r="I53" s="70"/>
      <c r="J53" s="18">
        <f t="shared" si="8"/>
        <v>0.92</v>
      </c>
      <c r="K53" s="28">
        <f t="shared" si="9"/>
        <v>0.96000000000000008</v>
      </c>
    </row>
    <row r="54" spans="2:17" x14ac:dyDescent="0.3">
      <c r="B54" s="24">
        <f t="shared" ref="B54:B59" si="10">C53</f>
        <v>8</v>
      </c>
      <c r="C54" s="20">
        <f t="shared" ref="C54:C59" si="11">B54+2</f>
        <v>10</v>
      </c>
      <c r="D54" s="59">
        <f t="shared" si="5"/>
        <v>9</v>
      </c>
      <c r="E54" s="60"/>
      <c r="F54" s="61">
        <f t="shared" si="6"/>
        <v>1</v>
      </c>
      <c r="G54" s="61"/>
      <c r="H54" s="62">
        <f t="shared" si="7"/>
        <v>0.97000000000000008</v>
      </c>
      <c r="I54" s="63"/>
      <c r="J54" s="18">
        <f t="shared" si="8"/>
        <v>0.97000000000000008</v>
      </c>
      <c r="K54" s="28">
        <f t="shared" si="9"/>
        <v>0.97000000000000008</v>
      </c>
    </row>
    <row r="55" spans="2:17" x14ac:dyDescent="0.3">
      <c r="B55" s="23">
        <f t="shared" si="10"/>
        <v>10</v>
      </c>
      <c r="C55" s="18">
        <f t="shared" si="11"/>
        <v>12</v>
      </c>
      <c r="D55" s="59">
        <f t="shared" si="5"/>
        <v>11</v>
      </c>
      <c r="E55" s="60"/>
      <c r="F55" s="66">
        <f t="shared" si="6"/>
        <v>1</v>
      </c>
      <c r="G55" s="66"/>
      <c r="H55" s="69">
        <f t="shared" si="7"/>
        <v>0.98000000000000009</v>
      </c>
      <c r="I55" s="70"/>
      <c r="J55" s="18">
        <f t="shared" si="8"/>
        <v>0.98000000000000009</v>
      </c>
      <c r="K55" s="28">
        <f t="shared" si="9"/>
        <v>0.98000000000000009</v>
      </c>
    </row>
    <row r="56" spans="2:17" x14ac:dyDescent="0.3">
      <c r="B56" s="24">
        <f t="shared" si="10"/>
        <v>12</v>
      </c>
      <c r="C56" s="20">
        <f t="shared" si="11"/>
        <v>14</v>
      </c>
      <c r="D56" s="59">
        <f t="shared" si="5"/>
        <v>13</v>
      </c>
      <c r="E56" s="60"/>
      <c r="F56" s="61">
        <f t="shared" si="6"/>
        <v>1</v>
      </c>
      <c r="G56" s="61"/>
      <c r="H56" s="62">
        <f t="shared" si="7"/>
        <v>0.9900000000000001</v>
      </c>
      <c r="I56" s="63"/>
      <c r="J56" s="18">
        <f t="shared" si="8"/>
        <v>0.9900000000000001</v>
      </c>
      <c r="K56" s="28">
        <f t="shared" si="9"/>
        <v>0.9900000000000001</v>
      </c>
    </row>
    <row r="57" spans="2:17" x14ac:dyDescent="0.3">
      <c r="B57" s="23">
        <f t="shared" si="10"/>
        <v>14</v>
      </c>
      <c r="C57" s="18">
        <f t="shared" si="11"/>
        <v>16</v>
      </c>
      <c r="D57" s="59">
        <f t="shared" si="5"/>
        <v>15</v>
      </c>
      <c r="E57" s="60"/>
      <c r="F57" s="66">
        <f t="shared" si="6"/>
        <v>0</v>
      </c>
      <c r="G57" s="66"/>
      <c r="H57" s="69">
        <f t="shared" si="7"/>
        <v>0.9900000000000001</v>
      </c>
      <c r="I57" s="70"/>
      <c r="J57" s="18">
        <v>0.99</v>
      </c>
      <c r="K57" s="28">
        <f t="shared" si="9"/>
        <v>0.9900000000000001</v>
      </c>
    </row>
    <row r="58" spans="2:17" x14ac:dyDescent="0.3">
      <c r="B58" s="24">
        <f t="shared" si="10"/>
        <v>16</v>
      </c>
      <c r="C58" s="20">
        <f t="shared" si="11"/>
        <v>18</v>
      </c>
      <c r="D58" s="59">
        <f t="shared" si="5"/>
        <v>17</v>
      </c>
      <c r="E58" s="60"/>
      <c r="F58" s="61">
        <f t="shared" si="6"/>
        <v>0</v>
      </c>
      <c r="G58" s="61"/>
      <c r="H58" s="62">
        <f t="shared" si="7"/>
        <v>0.9900000000000001</v>
      </c>
      <c r="I58" s="63"/>
      <c r="J58" s="18">
        <v>0.99</v>
      </c>
      <c r="K58" s="28">
        <f t="shared" si="9"/>
        <v>0.9900000000000001</v>
      </c>
    </row>
    <row r="59" spans="2:17" ht="15" thickBot="1" x14ac:dyDescent="0.35">
      <c r="B59" s="25">
        <f t="shared" si="10"/>
        <v>18</v>
      </c>
      <c r="C59" s="36">
        <f t="shared" si="11"/>
        <v>20</v>
      </c>
      <c r="D59" s="64">
        <f t="shared" si="5"/>
        <v>19</v>
      </c>
      <c r="E59" s="65"/>
      <c r="F59" s="66">
        <f t="shared" si="6"/>
        <v>1</v>
      </c>
      <c r="G59" s="66"/>
      <c r="H59" s="67">
        <f t="shared" si="7"/>
        <v>1</v>
      </c>
      <c r="I59" s="68"/>
      <c r="J59" s="18">
        <v>0</v>
      </c>
      <c r="K59" s="28">
        <v>0</v>
      </c>
    </row>
    <row r="60" spans="2:17" ht="15" thickBot="1" x14ac:dyDescent="0.35">
      <c r="B60" s="31" t="s">
        <v>12</v>
      </c>
      <c r="C60" s="33"/>
      <c r="D60" s="37"/>
      <c r="E60" s="35"/>
      <c r="F60" s="54">
        <f>SUM(F50:G59)</f>
        <v>100</v>
      </c>
      <c r="G60" s="54"/>
      <c r="H60" s="56"/>
      <c r="I60" s="58"/>
      <c r="J60" s="58"/>
      <c r="K60" s="57"/>
    </row>
    <row r="63" spans="2:17" ht="15" thickBot="1" x14ac:dyDescent="0.35"/>
    <row r="64" spans="2:17" ht="42" customHeight="1" thickBot="1" x14ac:dyDescent="0.35">
      <c r="B64" s="41" t="s">
        <v>21</v>
      </c>
      <c r="C64" s="42" t="s">
        <v>13</v>
      </c>
      <c r="D64" s="49" t="s">
        <v>14</v>
      </c>
      <c r="E64" s="50"/>
      <c r="F64" s="52" t="s">
        <v>15</v>
      </c>
      <c r="G64" s="53"/>
      <c r="H64" s="49" t="s">
        <v>17</v>
      </c>
      <c r="I64" s="50"/>
      <c r="J64" s="49" t="s">
        <v>16</v>
      </c>
      <c r="K64" s="50"/>
      <c r="L64" s="49" t="s">
        <v>18</v>
      </c>
      <c r="M64" s="50"/>
      <c r="N64" s="49" t="s">
        <v>19</v>
      </c>
      <c r="O64" s="50"/>
      <c r="P64" s="49" t="s">
        <v>20</v>
      </c>
      <c r="Q64" s="50"/>
    </row>
    <row r="65" spans="2:24" x14ac:dyDescent="0.3">
      <c r="B65" s="38">
        <v>0</v>
      </c>
      <c r="C65" s="38">
        <v>0</v>
      </c>
      <c r="D65" s="51">
        <v>0</v>
      </c>
      <c r="E65" s="51"/>
      <c r="F65" s="51">
        <v>0</v>
      </c>
      <c r="G65" s="51"/>
      <c r="H65" s="51">
        <v>0</v>
      </c>
      <c r="I65" s="51"/>
      <c r="J65" s="51">
        <v>0</v>
      </c>
      <c r="K65" s="51"/>
      <c r="L65" s="51">
        <v>0</v>
      </c>
      <c r="M65" s="51"/>
      <c r="N65" s="51">
        <v>0</v>
      </c>
      <c r="O65" s="51"/>
      <c r="P65" s="51">
        <v>2.25</v>
      </c>
      <c r="Q65" s="51"/>
    </row>
    <row r="66" spans="2:24" x14ac:dyDescent="0.3">
      <c r="B66" s="39">
        <v>1</v>
      </c>
      <c r="C66" s="19">
        <v>2.25</v>
      </c>
      <c r="D66" s="47">
        <v>2.25</v>
      </c>
      <c r="E66" s="48"/>
      <c r="F66" s="43">
        <v>1</v>
      </c>
      <c r="G66" s="43"/>
      <c r="H66" s="43">
        <v>0</v>
      </c>
      <c r="I66" s="43"/>
      <c r="J66" s="43">
        <v>2.25</v>
      </c>
      <c r="K66" s="43"/>
      <c r="L66" s="43">
        <v>3.25</v>
      </c>
      <c r="M66" s="43"/>
      <c r="N66" s="43">
        <f>F66+H66</f>
        <v>1</v>
      </c>
      <c r="O66" s="43"/>
      <c r="P66" s="43">
        <f>IF(-L66+D67 &lt; 0, 0,-L66+D67 )</f>
        <v>0</v>
      </c>
      <c r="Q66" s="43"/>
    </row>
    <row r="67" spans="2:24" ht="15" thickBot="1" x14ac:dyDescent="0.35">
      <c r="B67" s="40">
        <v>2</v>
      </c>
      <c r="C67" s="20">
        <v>0.75</v>
      </c>
      <c r="D67" s="99">
        <f>D66+C67</f>
        <v>3</v>
      </c>
      <c r="E67" s="100"/>
      <c r="F67" s="46">
        <v>3</v>
      </c>
      <c r="G67" s="46"/>
      <c r="H67" s="46">
        <f>IF(L66-D67 &lt; 0, 0, L66-D67)</f>
        <v>0.25</v>
      </c>
      <c r="I67" s="46"/>
      <c r="J67" s="46">
        <f>D67+H67</f>
        <v>3.25</v>
      </c>
      <c r="K67" s="46"/>
      <c r="L67" s="44">
        <f>J67+F67</f>
        <v>6.25</v>
      </c>
      <c r="M67" s="45"/>
      <c r="N67" s="101">
        <f>F67+H67</f>
        <v>3.25</v>
      </c>
      <c r="O67" s="101"/>
      <c r="P67" s="44">
        <f>IF(-L67+D68 &lt; 0, 0,-L67+D68 )</f>
        <v>0</v>
      </c>
      <c r="Q67" s="45"/>
    </row>
    <row r="68" spans="2:24" ht="15" thickBot="1" x14ac:dyDescent="0.35">
      <c r="B68" s="39">
        <v>3</v>
      </c>
      <c r="C68" s="18">
        <v>2.25</v>
      </c>
      <c r="D68" s="47">
        <f>D67+C68</f>
        <v>5.25</v>
      </c>
      <c r="E68" s="48"/>
      <c r="F68" s="43">
        <v>3</v>
      </c>
      <c r="G68" s="43"/>
      <c r="H68" s="43">
        <f>IF(L67-D68 &lt; 0, 0, L67-D68)</f>
        <v>1</v>
      </c>
      <c r="I68" s="43"/>
      <c r="J68" s="43">
        <f>D68+H68</f>
        <v>6.25</v>
      </c>
      <c r="K68" s="43"/>
      <c r="L68" s="47">
        <f>J68+F68</f>
        <v>9.25</v>
      </c>
      <c r="M68" s="48"/>
      <c r="N68" s="43">
        <f>F68+H68</f>
        <v>4</v>
      </c>
      <c r="O68" s="43"/>
      <c r="P68" s="47">
        <f>IF(-L68+D69 &lt; 0, 0,-L68+D69 )</f>
        <v>0</v>
      </c>
      <c r="Q68" s="48"/>
      <c r="S68" s="82" t="s">
        <v>22</v>
      </c>
      <c r="T68" s="83"/>
      <c r="U68" s="83"/>
      <c r="V68" s="84"/>
      <c r="W68" s="17">
        <f>L85</f>
        <v>93.25</v>
      </c>
      <c r="X68" s="16" t="s">
        <v>2</v>
      </c>
    </row>
    <row r="69" spans="2:24" ht="15" thickBot="1" x14ac:dyDescent="0.35">
      <c r="B69" s="40">
        <v>4</v>
      </c>
      <c r="C69" s="20">
        <v>2.25</v>
      </c>
      <c r="D69" s="99">
        <f>D68+C69</f>
        <v>7.5</v>
      </c>
      <c r="E69" s="100"/>
      <c r="F69" s="46">
        <v>3</v>
      </c>
      <c r="G69" s="46"/>
      <c r="H69" s="46">
        <f>IF(L68-D69 &lt; 0, 0, L68-D69)</f>
        <v>1.75</v>
      </c>
      <c r="I69" s="46"/>
      <c r="J69" s="46">
        <f>D69+H69</f>
        <v>9.25</v>
      </c>
      <c r="K69" s="46"/>
      <c r="L69" s="44">
        <f>J69+F69</f>
        <v>12.25</v>
      </c>
      <c r="M69" s="45"/>
      <c r="N69" s="101">
        <f>F69+H69</f>
        <v>4.75</v>
      </c>
      <c r="O69" s="101"/>
      <c r="P69" s="44">
        <f>IF(-L69+D70 &lt; 0, 0,-L69+D70 )</f>
        <v>5</v>
      </c>
      <c r="Q69" s="45"/>
      <c r="S69" s="82" t="s">
        <v>23</v>
      </c>
      <c r="T69" s="83"/>
      <c r="U69" s="83"/>
      <c r="V69" s="84"/>
      <c r="W69" s="112">
        <f>H86/20</f>
        <v>5.3375000000000004</v>
      </c>
      <c r="X69" s="16" t="s">
        <v>2</v>
      </c>
    </row>
    <row r="70" spans="2:24" ht="15" thickBot="1" x14ac:dyDescent="0.35">
      <c r="B70" s="39">
        <v>5</v>
      </c>
      <c r="C70" s="18">
        <v>9.75</v>
      </c>
      <c r="D70" s="47">
        <f>D69+C70</f>
        <v>17.25</v>
      </c>
      <c r="E70" s="48"/>
      <c r="F70" s="43">
        <v>3</v>
      </c>
      <c r="G70" s="43"/>
      <c r="H70" s="43">
        <f>IF(L69-D70 &lt; 0, 0, L69-D70)</f>
        <v>0</v>
      </c>
      <c r="I70" s="43"/>
      <c r="J70" s="43">
        <f>D70+H70</f>
        <v>17.25</v>
      </c>
      <c r="K70" s="43"/>
      <c r="L70" s="47">
        <f>J70+F70</f>
        <v>20.25</v>
      </c>
      <c r="M70" s="48"/>
      <c r="N70" s="43">
        <f>F70+H70</f>
        <v>3</v>
      </c>
      <c r="O70" s="43"/>
      <c r="P70" s="47">
        <f>IF(-L70+D71 &lt; 0, 0,-L70+D71 )</f>
        <v>0.75</v>
      </c>
      <c r="Q70" s="48"/>
      <c r="S70" s="82" t="s">
        <v>24</v>
      </c>
      <c r="T70" s="83"/>
      <c r="U70" s="83"/>
      <c r="V70" s="84"/>
      <c r="W70" s="17">
        <f>(COUNTIF(H66:I85, "&gt; 0")/20) *100</f>
        <v>55.000000000000007</v>
      </c>
      <c r="X70" s="16" t="s">
        <v>25</v>
      </c>
    </row>
    <row r="71" spans="2:24" ht="15" thickBot="1" x14ac:dyDescent="0.35">
      <c r="B71" s="40">
        <v>6</v>
      </c>
      <c r="C71" s="20">
        <v>3.75</v>
      </c>
      <c r="D71" s="99">
        <f>D70+C71</f>
        <v>21</v>
      </c>
      <c r="E71" s="100"/>
      <c r="F71" s="46">
        <v>1</v>
      </c>
      <c r="G71" s="46"/>
      <c r="H71" s="46">
        <f>IF(L70-D71 &lt; 0, 0, L70-D71)</f>
        <v>0</v>
      </c>
      <c r="I71" s="46"/>
      <c r="J71" s="46">
        <f>D71+H71</f>
        <v>21</v>
      </c>
      <c r="K71" s="46"/>
      <c r="L71" s="44">
        <f>J71+F71</f>
        <v>22</v>
      </c>
      <c r="M71" s="45"/>
      <c r="N71" s="101">
        <f t="shared" ref="N71:N72" si="12">F71+H71</f>
        <v>1</v>
      </c>
      <c r="O71" s="101"/>
      <c r="P71" s="44">
        <f>IF(-L71+D72 &lt; 0, 0,-L71+D72 )</f>
        <v>1.25</v>
      </c>
      <c r="Q71" s="45"/>
      <c r="S71" s="82" t="s">
        <v>26</v>
      </c>
      <c r="T71" s="83"/>
      <c r="U71" s="83"/>
      <c r="V71" s="84"/>
      <c r="W71" s="17">
        <f>F86/20</f>
        <v>3.3</v>
      </c>
      <c r="X71" s="16" t="s">
        <v>2</v>
      </c>
    </row>
    <row r="72" spans="2:24" ht="15" thickBot="1" x14ac:dyDescent="0.35">
      <c r="B72" s="39">
        <v>7</v>
      </c>
      <c r="C72" s="18">
        <v>2.25</v>
      </c>
      <c r="D72" s="47">
        <f>D71+C72</f>
        <v>23.25</v>
      </c>
      <c r="E72" s="48"/>
      <c r="F72" s="43">
        <v>1</v>
      </c>
      <c r="G72" s="43"/>
      <c r="H72" s="43">
        <f>IF(L71-D72 &lt; 0, 0, L71-D72)</f>
        <v>0</v>
      </c>
      <c r="I72" s="43"/>
      <c r="J72" s="43">
        <f>D72+H72</f>
        <v>23.25</v>
      </c>
      <c r="K72" s="43"/>
      <c r="L72" s="47">
        <f>J72+F72</f>
        <v>24.25</v>
      </c>
      <c r="M72" s="48"/>
      <c r="N72" s="43">
        <f t="shared" ref="N72" si="13">F72+H72</f>
        <v>1</v>
      </c>
      <c r="O72" s="43"/>
      <c r="P72" s="47">
        <f>IF(-L72+D73 &lt; 0, 0,-L72+D73 )</f>
        <v>4.25</v>
      </c>
      <c r="Q72" s="48"/>
      <c r="S72" s="82" t="s">
        <v>27</v>
      </c>
      <c r="T72" s="83"/>
      <c r="U72" s="83"/>
      <c r="V72" s="84"/>
      <c r="W72" s="17">
        <f>L85-P86</f>
        <v>66</v>
      </c>
      <c r="X72" s="16" t="s">
        <v>2</v>
      </c>
    </row>
    <row r="73" spans="2:24" ht="15" thickBot="1" x14ac:dyDescent="0.35">
      <c r="B73" s="40">
        <v>8</v>
      </c>
      <c r="C73" s="20">
        <v>5.25</v>
      </c>
      <c r="D73" s="99">
        <f t="shared" ref="D73:D85" si="14">D72+C73</f>
        <v>28.5</v>
      </c>
      <c r="E73" s="100"/>
      <c r="F73" s="46">
        <v>1</v>
      </c>
      <c r="G73" s="46"/>
      <c r="H73" s="46">
        <f>IF(L72-D73 &lt; 0, 0, L72-D73)</f>
        <v>0</v>
      </c>
      <c r="I73" s="46"/>
      <c r="J73" s="46">
        <f>D73+H73</f>
        <v>28.5</v>
      </c>
      <c r="K73" s="46"/>
      <c r="L73" s="44">
        <f>J73+F73</f>
        <v>29.5</v>
      </c>
      <c r="M73" s="45"/>
      <c r="N73" s="101">
        <f t="shared" ref="N73" si="15">F73+H73</f>
        <v>1</v>
      </c>
      <c r="O73" s="101"/>
      <c r="P73" s="44">
        <f>IF(-L73+D74 &lt; 0, 0,-L73+D74 )</f>
        <v>5.75</v>
      </c>
      <c r="Q73" s="45"/>
      <c r="S73" s="82" t="s">
        <v>28</v>
      </c>
      <c r="T73" s="83"/>
      <c r="U73" s="83"/>
      <c r="V73" s="84"/>
      <c r="W73" s="112">
        <f>(W72/L85)*100</f>
        <v>70.777479892761392</v>
      </c>
      <c r="X73" s="16" t="s">
        <v>25</v>
      </c>
    </row>
    <row r="74" spans="2:24" x14ac:dyDescent="0.3">
      <c r="B74" s="39">
        <v>9</v>
      </c>
      <c r="C74" s="18">
        <v>6.75</v>
      </c>
      <c r="D74" s="47">
        <f t="shared" si="14"/>
        <v>35.25</v>
      </c>
      <c r="E74" s="48"/>
      <c r="F74" s="43">
        <v>1</v>
      </c>
      <c r="G74" s="43"/>
      <c r="H74" s="43">
        <f>IF(L73-D74 &lt; 0, 0, L73-D74)</f>
        <v>0</v>
      </c>
      <c r="I74" s="43"/>
      <c r="J74" s="43">
        <f>D74+H74</f>
        <v>35.25</v>
      </c>
      <c r="K74" s="43"/>
      <c r="L74" s="47">
        <f>J74+F74</f>
        <v>36.25</v>
      </c>
      <c r="M74" s="48"/>
      <c r="N74" s="43">
        <f t="shared" ref="N74" si="16">F74+H74</f>
        <v>1</v>
      </c>
      <c r="O74" s="43"/>
      <c r="P74" s="47">
        <f>IF(-L74+D75 &lt; 0, 0,-L74+D75 )</f>
        <v>2.75</v>
      </c>
      <c r="Q74" s="48"/>
    </row>
    <row r="75" spans="2:24" x14ac:dyDescent="0.3">
      <c r="B75" s="40">
        <v>10</v>
      </c>
      <c r="C75" s="20">
        <v>3.75</v>
      </c>
      <c r="D75" s="99">
        <f t="shared" si="14"/>
        <v>39</v>
      </c>
      <c r="E75" s="100"/>
      <c r="F75" s="46">
        <v>1</v>
      </c>
      <c r="G75" s="46"/>
      <c r="H75" s="46">
        <f>IF(L74-D75 &lt; 0, 0, L74-D75)</f>
        <v>0</v>
      </c>
      <c r="I75" s="46"/>
      <c r="J75" s="46">
        <f>D75+H75</f>
        <v>39</v>
      </c>
      <c r="K75" s="46"/>
      <c r="L75" s="44">
        <f>J75+F75</f>
        <v>40</v>
      </c>
      <c r="M75" s="45"/>
      <c r="N75" s="101">
        <f t="shared" ref="N75" si="17">F75+H75</f>
        <v>1</v>
      </c>
      <c r="O75" s="101"/>
      <c r="P75" s="44">
        <f>IF(-L75+D76 &lt; 0, 0,-L75+D76 )</f>
        <v>4.25</v>
      </c>
      <c r="Q75" s="45"/>
    </row>
    <row r="76" spans="2:24" x14ac:dyDescent="0.3">
      <c r="B76" s="39">
        <v>11</v>
      </c>
      <c r="C76" s="18">
        <v>5.25</v>
      </c>
      <c r="D76" s="47">
        <f t="shared" si="14"/>
        <v>44.25</v>
      </c>
      <c r="E76" s="48"/>
      <c r="F76" s="43">
        <v>1</v>
      </c>
      <c r="G76" s="43"/>
      <c r="H76" s="43">
        <f>IF(L75-D76 &lt; 0, 0, L75-D76)</f>
        <v>0</v>
      </c>
      <c r="I76" s="43"/>
      <c r="J76" s="43">
        <f>D76+H76</f>
        <v>44.25</v>
      </c>
      <c r="K76" s="43"/>
      <c r="L76" s="47">
        <f>J76+F76</f>
        <v>45.25</v>
      </c>
      <c r="M76" s="48"/>
      <c r="N76" s="43">
        <f t="shared" ref="N76" si="18">F76+H76</f>
        <v>1</v>
      </c>
      <c r="O76" s="43"/>
      <c r="P76" s="47">
        <f>IF(-L76+D77 &lt; 0, 0,-L76+D77 )</f>
        <v>0</v>
      </c>
      <c r="Q76" s="48"/>
    </row>
    <row r="77" spans="2:24" x14ac:dyDescent="0.3">
      <c r="B77" s="40">
        <v>12</v>
      </c>
      <c r="C77" s="20">
        <v>0.75</v>
      </c>
      <c r="D77" s="99">
        <f t="shared" si="14"/>
        <v>45</v>
      </c>
      <c r="E77" s="100"/>
      <c r="F77" s="46">
        <v>1</v>
      </c>
      <c r="G77" s="46"/>
      <c r="H77" s="46">
        <f>IF(L76-D77 &lt; 0, 0, L76-D77)</f>
        <v>0.25</v>
      </c>
      <c r="I77" s="46"/>
      <c r="J77" s="46">
        <f>D77+H77</f>
        <v>45.25</v>
      </c>
      <c r="K77" s="46"/>
      <c r="L77" s="44">
        <f>J77+F77</f>
        <v>46.25</v>
      </c>
      <c r="M77" s="45"/>
      <c r="N77" s="101">
        <f t="shared" ref="N77" si="19">F77+H77</f>
        <v>1.25</v>
      </c>
      <c r="O77" s="101"/>
      <c r="P77" s="44">
        <f>IF(-L77+D78 &lt; 0, 0,-L77+D78 )</f>
        <v>1</v>
      </c>
      <c r="Q77" s="45"/>
    </row>
    <row r="78" spans="2:24" x14ac:dyDescent="0.3">
      <c r="B78" s="39">
        <v>13</v>
      </c>
      <c r="C78" s="18">
        <v>2.25</v>
      </c>
      <c r="D78" s="47">
        <f t="shared" si="14"/>
        <v>47.25</v>
      </c>
      <c r="E78" s="48"/>
      <c r="F78" s="43">
        <v>1</v>
      </c>
      <c r="G78" s="43"/>
      <c r="H78" s="43">
        <f>IF(L77-D78 &lt; 0, 0, L77-D78)</f>
        <v>0</v>
      </c>
      <c r="I78" s="43"/>
      <c r="J78" s="43">
        <f>D78+H78</f>
        <v>47.25</v>
      </c>
      <c r="K78" s="43"/>
      <c r="L78" s="47">
        <f>J78+F78</f>
        <v>48.25</v>
      </c>
      <c r="M78" s="48"/>
      <c r="N78" s="43">
        <f t="shared" ref="N78" si="20">F78+H78</f>
        <v>1</v>
      </c>
      <c r="O78" s="43"/>
      <c r="P78" s="47">
        <f>IF(-L78+D79 &lt; 0, 0,-L78+D79 )</f>
        <v>0</v>
      </c>
      <c r="Q78" s="48"/>
    </row>
    <row r="79" spans="2:24" x14ac:dyDescent="0.3">
      <c r="B79" s="40">
        <v>14</v>
      </c>
      <c r="C79" s="20">
        <v>0.75</v>
      </c>
      <c r="D79" s="99">
        <f t="shared" si="14"/>
        <v>48</v>
      </c>
      <c r="E79" s="100"/>
      <c r="F79" s="46">
        <v>19</v>
      </c>
      <c r="G79" s="46"/>
      <c r="H79" s="46">
        <f>IF(L78-D79 &lt; 0, 0, L78-D79)</f>
        <v>0.25</v>
      </c>
      <c r="I79" s="46"/>
      <c r="J79" s="46">
        <f>D79+H79</f>
        <v>48.25</v>
      </c>
      <c r="K79" s="46"/>
      <c r="L79" s="44">
        <f>J79+F79</f>
        <v>67.25</v>
      </c>
      <c r="M79" s="45"/>
      <c r="N79" s="101">
        <f t="shared" ref="N79" si="21">F79+H79</f>
        <v>19.25</v>
      </c>
      <c r="O79" s="101"/>
      <c r="P79" s="44">
        <f>IF(-L79+D80 &lt; 0, 0,-L79+D80 )</f>
        <v>0</v>
      </c>
      <c r="Q79" s="45"/>
    </row>
    <row r="80" spans="2:24" x14ac:dyDescent="0.3">
      <c r="B80" s="39">
        <v>15</v>
      </c>
      <c r="C80" s="18">
        <v>2.25</v>
      </c>
      <c r="D80" s="47">
        <f t="shared" si="14"/>
        <v>50.25</v>
      </c>
      <c r="E80" s="48"/>
      <c r="F80" s="43">
        <v>19</v>
      </c>
      <c r="G80" s="43"/>
      <c r="H80" s="43">
        <f>IF(L79-D80 &lt; 0, 0, L79-D80)</f>
        <v>17</v>
      </c>
      <c r="I80" s="43"/>
      <c r="J80" s="43">
        <f>D80+H80</f>
        <v>67.25</v>
      </c>
      <c r="K80" s="43"/>
      <c r="L80" s="47">
        <f>J80+F80</f>
        <v>86.25</v>
      </c>
      <c r="M80" s="48"/>
      <c r="N80" s="43">
        <f t="shared" ref="N80" si="22">F80+H80</f>
        <v>36</v>
      </c>
      <c r="O80" s="43"/>
      <c r="P80" s="47">
        <f>IF(-L80+D81 &lt; 0, 0,-L80+D81 )</f>
        <v>0</v>
      </c>
      <c r="Q80" s="48"/>
    </row>
    <row r="81" spans="2:17" x14ac:dyDescent="0.3">
      <c r="B81" s="40">
        <v>16</v>
      </c>
      <c r="C81" s="20">
        <v>5.25</v>
      </c>
      <c r="D81" s="99">
        <f t="shared" si="14"/>
        <v>55.5</v>
      </c>
      <c r="E81" s="100"/>
      <c r="F81" s="46">
        <v>3</v>
      </c>
      <c r="G81" s="46"/>
      <c r="H81" s="46">
        <f>IF(L80-D81 &lt; 0, 0, L80-D81)</f>
        <v>30.75</v>
      </c>
      <c r="I81" s="46"/>
      <c r="J81" s="46">
        <f>D81+H81</f>
        <v>86.25</v>
      </c>
      <c r="K81" s="46"/>
      <c r="L81" s="44">
        <f>J81+F81</f>
        <v>89.25</v>
      </c>
      <c r="M81" s="45"/>
      <c r="N81" s="101">
        <f t="shared" ref="N81" si="23">F81+H81</f>
        <v>33.75</v>
      </c>
      <c r="O81" s="101"/>
      <c r="P81" s="44">
        <f>IF(-L81+D82 &lt; 0, 0,-L81+D82 )</f>
        <v>0</v>
      </c>
      <c r="Q81" s="45"/>
    </row>
    <row r="82" spans="2:17" x14ac:dyDescent="0.3">
      <c r="B82" s="39">
        <v>17</v>
      </c>
      <c r="C82" s="18">
        <v>14.25</v>
      </c>
      <c r="D82" s="47">
        <f t="shared" si="14"/>
        <v>69.75</v>
      </c>
      <c r="E82" s="48"/>
      <c r="F82" s="43">
        <v>1</v>
      </c>
      <c r="G82" s="43"/>
      <c r="H82" s="43">
        <f>IF(L81-D82 &lt; 0, 0, L81-D82)</f>
        <v>19.5</v>
      </c>
      <c r="I82" s="43"/>
      <c r="J82" s="43">
        <f>D82+H82</f>
        <v>89.25</v>
      </c>
      <c r="K82" s="43"/>
      <c r="L82" s="47">
        <f>J82+F82</f>
        <v>90.25</v>
      </c>
      <c r="M82" s="48"/>
      <c r="N82" s="43">
        <f t="shared" ref="N82" si="24">F82+H82</f>
        <v>20.5</v>
      </c>
      <c r="O82" s="43"/>
      <c r="P82" s="47">
        <f>IF(-L82+D83 &lt; 0, 0,-L82+D83 )</f>
        <v>0</v>
      </c>
      <c r="Q82" s="48"/>
    </row>
    <row r="83" spans="2:17" x14ac:dyDescent="0.3">
      <c r="B83" s="40">
        <v>18</v>
      </c>
      <c r="C83" s="20">
        <v>5.25</v>
      </c>
      <c r="D83" s="99">
        <f t="shared" si="14"/>
        <v>75</v>
      </c>
      <c r="E83" s="100"/>
      <c r="F83" s="46">
        <v>1</v>
      </c>
      <c r="G83" s="46"/>
      <c r="H83" s="46">
        <f>IF(L82-D83 &lt; 0, 0, L82-D83)</f>
        <v>15.25</v>
      </c>
      <c r="I83" s="46"/>
      <c r="J83" s="46">
        <f>D83+H83</f>
        <v>90.25</v>
      </c>
      <c r="K83" s="46"/>
      <c r="L83" s="44">
        <f>J83+F83</f>
        <v>91.25</v>
      </c>
      <c r="M83" s="45"/>
      <c r="N83" s="101">
        <f t="shared" ref="N83" si="25">F83+H83</f>
        <v>16.25</v>
      </c>
      <c r="O83" s="101"/>
      <c r="P83" s="44">
        <f>IF(-L83+D84 &lt; 0, 0,-L83+D84 )</f>
        <v>0</v>
      </c>
      <c r="Q83" s="45"/>
    </row>
    <row r="84" spans="2:17" x14ac:dyDescent="0.3">
      <c r="B84" s="39">
        <v>19</v>
      </c>
      <c r="C84" s="18">
        <v>3.75</v>
      </c>
      <c r="D84" s="47">
        <f t="shared" si="14"/>
        <v>78.75</v>
      </c>
      <c r="E84" s="48"/>
      <c r="F84" s="43">
        <v>1</v>
      </c>
      <c r="G84" s="43"/>
      <c r="H84" s="43">
        <f>IF(L83-D84 &lt; 0, 0, L83-D84)</f>
        <v>12.5</v>
      </c>
      <c r="I84" s="43"/>
      <c r="J84" s="43">
        <f>D84+H84</f>
        <v>91.25</v>
      </c>
      <c r="K84" s="43"/>
      <c r="L84" s="47">
        <f>J84+F84</f>
        <v>92.25</v>
      </c>
      <c r="M84" s="48"/>
      <c r="N84" s="43">
        <f t="shared" ref="N84" si="26">F84+H84</f>
        <v>13.5</v>
      </c>
      <c r="O84" s="43"/>
      <c r="P84" s="47">
        <f>IF(-L84+D85 &lt; 0, 0,-L84+D85 )</f>
        <v>0</v>
      </c>
      <c r="Q84" s="48"/>
    </row>
    <row r="85" spans="2:17" ht="15" thickBot="1" x14ac:dyDescent="0.35">
      <c r="B85" s="109">
        <v>20</v>
      </c>
      <c r="C85" s="102">
        <v>5.25</v>
      </c>
      <c r="D85" s="110">
        <f t="shared" si="14"/>
        <v>84</v>
      </c>
      <c r="E85" s="111"/>
      <c r="F85" s="104">
        <v>1</v>
      </c>
      <c r="G85" s="104"/>
      <c r="H85" s="104">
        <f>IF(L84-D85 &lt; 0, 0, L84-D85)</f>
        <v>8.25</v>
      </c>
      <c r="I85" s="104"/>
      <c r="J85" s="104">
        <f>D85+H85</f>
        <v>92.25</v>
      </c>
      <c r="K85" s="104"/>
      <c r="L85" s="107">
        <f>J85+F85</f>
        <v>93.25</v>
      </c>
      <c r="M85" s="108"/>
      <c r="N85" s="106">
        <f t="shared" ref="N85" si="27">F85+H85</f>
        <v>9.25</v>
      </c>
      <c r="O85" s="106"/>
      <c r="P85" s="107">
        <f>IF(-L85+D86 &lt; 0, 0,-L85+D86 )</f>
        <v>0</v>
      </c>
      <c r="Q85" s="108"/>
    </row>
    <row r="86" spans="2:17" ht="15" thickBot="1" x14ac:dyDescent="0.35">
      <c r="B86" s="103" t="s">
        <v>12</v>
      </c>
      <c r="C86" s="103">
        <f>SUM(C65:C85)</f>
        <v>84</v>
      </c>
      <c r="D86" s="31"/>
      <c r="E86" s="32"/>
      <c r="F86" s="105">
        <f>SUM(F65:G85)</f>
        <v>66</v>
      </c>
      <c r="G86" s="55"/>
      <c r="H86" s="105">
        <f>SUM(H65:I85)</f>
        <v>106.75</v>
      </c>
      <c r="I86" s="55"/>
      <c r="J86" s="105"/>
      <c r="K86" s="54"/>
      <c r="L86" s="34"/>
      <c r="M86" s="32"/>
      <c r="N86" s="105">
        <f>SUM(N65:O85)</f>
        <v>172.75</v>
      </c>
      <c r="O86" s="55"/>
      <c r="P86" s="105">
        <f>SUM(P65:Q85)</f>
        <v>27.25</v>
      </c>
      <c r="Q86" s="55"/>
    </row>
  </sheetData>
  <mergeCells count="251">
    <mergeCell ref="F86:G86"/>
    <mergeCell ref="H86:I86"/>
    <mergeCell ref="J86:K86"/>
    <mergeCell ref="N86:O86"/>
    <mergeCell ref="P86:Q86"/>
    <mergeCell ref="S68:V68"/>
    <mergeCell ref="S69:V69"/>
    <mergeCell ref="S70:V70"/>
    <mergeCell ref="S71:V71"/>
    <mergeCell ref="S72:V72"/>
    <mergeCell ref="S73:V73"/>
    <mergeCell ref="D20:E20"/>
    <mergeCell ref="F20:G20"/>
    <mergeCell ref="H20:I20"/>
    <mergeCell ref="D21:E21"/>
    <mergeCell ref="F21:G21"/>
    <mergeCell ref="H21:I21"/>
    <mergeCell ref="B3:K4"/>
    <mergeCell ref="M4:O4"/>
    <mergeCell ref="M5:O5"/>
    <mergeCell ref="M6:O6"/>
    <mergeCell ref="B17:K18"/>
    <mergeCell ref="B19:C19"/>
    <mergeCell ref="D19:E19"/>
    <mergeCell ref="F19:G19"/>
    <mergeCell ref="H19:I19"/>
    <mergeCell ref="J19:K19"/>
    <mergeCell ref="D24:E24"/>
    <mergeCell ref="F24:G24"/>
    <mergeCell ref="H24:I24"/>
    <mergeCell ref="D25:E25"/>
    <mergeCell ref="F25:G25"/>
    <mergeCell ref="H25:I25"/>
    <mergeCell ref="D22:E22"/>
    <mergeCell ref="F22:G22"/>
    <mergeCell ref="H22:I22"/>
    <mergeCell ref="D23:E23"/>
    <mergeCell ref="F23:G23"/>
    <mergeCell ref="H23:I23"/>
    <mergeCell ref="D28:E28"/>
    <mergeCell ref="F28:G28"/>
    <mergeCell ref="H28:I28"/>
    <mergeCell ref="D29:E29"/>
    <mergeCell ref="F29:G29"/>
    <mergeCell ref="H29:I29"/>
    <mergeCell ref="D26:E26"/>
    <mergeCell ref="F26:G26"/>
    <mergeCell ref="H26:I26"/>
    <mergeCell ref="D27:E27"/>
    <mergeCell ref="F27:G27"/>
    <mergeCell ref="H27:I27"/>
    <mergeCell ref="B33:K34"/>
    <mergeCell ref="M34:O34"/>
    <mergeCell ref="M35:O35"/>
    <mergeCell ref="M36:O36"/>
    <mergeCell ref="B47:K48"/>
    <mergeCell ref="B49:C49"/>
    <mergeCell ref="D49:E49"/>
    <mergeCell ref="F49:G49"/>
    <mergeCell ref="H49:I49"/>
    <mergeCell ref="J49:K49"/>
    <mergeCell ref="D52:E52"/>
    <mergeCell ref="F52:G52"/>
    <mergeCell ref="H52:I52"/>
    <mergeCell ref="D53:E53"/>
    <mergeCell ref="F53:G53"/>
    <mergeCell ref="H53:I53"/>
    <mergeCell ref="D50:E50"/>
    <mergeCell ref="F50:G50"/>
    <mergeCell ref="H50:I50"/>
    <mergeCell ref="D51:E51"/>
    <mergeCell ref="F51:G51"/>
    <mergeCell ref="H51:I51"/>
    <mergeCell ref="F30:G30"/>
    <mergeCell ref="H30:I30"/>
    <mergeCell ref="J30:K30"/>
    <mergeCell ref="F60:G60"/>
    <mergeCell ref="H60:I60"/>
    <mergeCell ref="J60:K60"/>
    <mergeCell ref="D58:E58"/>
    <mergeCell ref="F58:G58"/>
    <mergeCell ref="H58:I58"/>
    <mergeCell ref="D59:E59"/>
    <mergeCell ref="F59:G59"/>
    <mergeCell ref="H59:I59"/>
    <mergeCell ref="D56:E56"/>
    <mergeCell ref="F56:G56"/>
    <mergeCell ref="H56:I56"/>
    <mergeCell ref="D57:E57"/>
    <mergeCell ref="F57:G57"/>
    <mergeCell ref="H57:I57"/>
    <mergeCell ref="D54:E54"/>
    <mergeCell ref="F54:G54"/>
    <mergeCell ref="H54:I54"/>
    <mergeCell ref="D55:E55"/>
    <mergeCell ref="F55:G55"/>
    <mergeCell ref="H55:I55"/>
    <mergeCell ref="P64:Q64"/>
    <mergeCell ref="D65:E65"/>
    <mergeCell ref="F65:G65"/>
    <mergeCell ref="H65:I65"/>
    <mergeCell ref="J65:K65"/>
    <mergeCell ref="L65:M65"/>
    <mergeCell ref="N65:O65"/>
    <mergeCell ref="P65:Q65"/>
    <mergeCell ref="D64:E64"/>
    <mergeCell ref="F64:G64"/>
    <mergeCell ref="H64:I64"/>
    <mergeCell ref="J64:K64"/>
    <mergeCell ref="L64:M64"/>
    <mergeCell ref="N64:O64"/>
    <mergeCell ref="P66:Q66"/>
    <mergeCell ref="D67:E67"/>
    <mergeCell ref="F67:G67"/>
    <mergeCell ref="H67:I67"/>
    <mergeCell ref="J67:K67"/>
    <mergeCell ref="L67:M67"/>
    <mergeCell ref="N67:O67"/>
    <mergeCell ref="P67:Q67"/>
    <mergeCell ref="D66:E66"/>
    <mergeCell ref="F66:G66"/>
    <mergeCell ref="H66:I66"/>
    <mergeCell ref="J66:K66"/>
    <mergeCell ref="L66:M66"/>
    <mergeCell ref="N66:O66"/>
    <mergeCell ref="P68:Q68"/>
    <mergeCell ref="D69:E69"/>
    <mergeCell ref="F69:G69"/>
    <mergeCell ref="H69:I69"/>
    <mergeCell ref="J69:K69"/>
    <mergeCell ref="L69:M69"/>
    <mergeCell ref="N69:O69"/>
    <mergeCell ref="P69:Q69"/>
    <mergeCell ref="D68:E68"/>
    <mergeCell ref="F68:G68"/>
    <mergeCell ref="H68:I68"/>
    <mergeCell ref="J68:K68"/>
    <mergeCell ref="L68:M68"/>
    <mergeCell ref="N68:O68"/>
    <mergeCell ref="P70:Q70"/>
    <mergeCell ref="D71:E71"/>
    <mergeCell ref="F71:G71"/>
    <mergeCell ref="H71:I71"/>
    <mergeCell ref="J71:K71"/>
    <mergeCell ref="L71:M71"/>
    <mergeCell ref="N71:O71"/>
    <mergeCell ref="P71:Q71"/>
    <mergeCell ref="D70:E70"/>
    <mergeCell ref="F70:G70"/>
    <mergeCell ref="H70:I70"/>
    <mergeCell ref="J70:K70"/>
    <mergeCell ref="L70:M70"/>
    <mergeCell ref="N70:O70"/>
    <mergeCell ref="P72:Q72"/>
    <mergeCell ref="D73:E73"/>
    <mergeCell ref="F73:G73"/>
    <mergeCell ref="H73:I73"/>
    <mergeCell ref="J73:K73"/>
    <mergeCell ref="L73:M73"/>
    <mergeCell ref="N73:O73"/>
    <mergeCell ref="P73:Q73"/>
    <mergeCell ref="D72:E72"/>
    <mergeCell ref="F72:G72"/>
    <mergeCell ref="H72:I72"/>
    <mergeCell ref="J72:K72"/>
    <mergeCell ref="L72:M72"/>
    <mergeCell ref="N72:O72"/>
    <mergeCell ref="P74:Q74"/>
    <mergeCell ref="D75:E75"/>
    <mergeCell ref="F75:G75"/>
    <mergeCell ref="H75:I75"/>
    <mergeCell ref="J75:K75"/>
    <mergeCell ref="L75:M75"/>
    <mergeCell ref="N75:O75"/>
    <mergeCell ref="P75:Q75"/>
    <mergeCell ref="D74:E74"/>
    <mergeCell ref="F74:G74"/>
    <mergeCell ref="H74:I74"/>
    <mergeCell ref="J74:K74"/>
    <mergeCell ref="L74:M74"/>
    <mergeCell ref="N74:O74"/>
    <mergeCell ref="P76:Q76"/>
    <mergeCell ref="D77:E77"/>
    <mergeCell ref="F77:G77"/>
    <mergeCell ref="H77:I77"/>
    <mergeCell ref="J77:K77"/>
    <mergeCell ref="L77:M77"/>
    <mergeCell ref="N77:O77"/>
    <mergeCell ref="P77:Q77"/>
    <mergeCell ref="D76:E76"/>
    <mergeCell ref="F76:G76"/>
    <mergeCell ref="H76:I76"/>
    <mergeCell ref="J76:K76"/>
    <mergeCell ref="L76:M76"/>
    <mergeCell ref="N76:O76"/>
    <mergeCell ref="P78:Q78"/>
    <mergeCell ref="D79:E79"/>
    <mergeCell ref="F79:G79"/>
    <mergeCell ref="H79:I79"/>
    <mergeCell ref="J79:K79"/>
    <mergeCell ref="L79:M79"/>
    <mergeCell ref="N79:O79"/>
    <mergeCell ref="P79:Q79"/>
    <mergeCell ref="D78:E78"/>
    <mergeCell ref="F78:G78"/>
    <mergeCell ref="H78:I78"/>
    <mergeCell ref="J78:K78"/>
    <mergeCell ref="L78:M78"/>
    <mergeCell ref="N78:O78"/>
    <mergeCell ref="P80:Q80"/>
    <mergeCell ref="D81:E81"/>
    <mergeCell ref="F81:G81"/>
    <mergeCell ref="H81:I81"/>
    <mergeCell ref="J81:K81"/>
    <mergeCell ref="L81:M81"/>
    <mergeCell ref="N81:O81"/>
    <mergeCell ref="P81:Q81"/>
    <mergeCell ref="D80:E80"/>
    <mergeCell ref="F80:G80"/>
    <mergeCell ref="H80:I80"/>
    <mergeCell ref="J80:K80"/>
    <mergeCell ref="L80:M80"/>
    <mergeCell ref="N80:O80"/>
    <mergeCell ref="P82:Q82"/>
    <mergeCell ref="D83:E83"/>
    <mergeCell ref="F83:G83"/>
    <mergeCell ref="H83:I83"/>
    <mergeCell ref="J83:K83"/>
    <mergeCell ref="L83:M83"/>
    <mergeCell ref="N83:O83"/>
    <mergeCell ref="P83:Q83"/>
    <mergeCell ref="D82:E82"/>
    <mergeCell ref="F82:G82"/>
    <mergeCell ref="H82:I82"/>
    <mergeCell ref="J82:K82"/>
    <mergeCell ref="L82:M82"/>
    <mergeCell ref="N82:O82"/>
    <mergeCell ref="P84:Q84"/>
    <mergeCell ref="D85:E85"/>
    <mergeCell ref="F85:G85"/>
    <mergeCell ref="H85:I85"/>
    <mergeCell ref="J85:K85"/>
    <mergeCell ref="L85:M85"/>
    <mergeCell ref="N85:O85"/>
    <mergeCell ref="P85:Q85"/>
    <mergeCell ref="D84:E84"/>
    <mergeCell ref="F84:G84"/>
    <mergeCell ref="H84:I84"/>
    <mergeCell ref="J84:K84"/>
    <mergeCell ref="L84:M84"/>
    <mergeCell ref="N84:O8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f Bastos</dc:creator>
  <cp:lastModifiedBy>Igor f Bastos</cp:lastModifiedBy>
  <dcterms:created xsi:type="dcterms:W3CDTF">2025-09-08T21:12:30Z</dcterms:created>
  <dcterms:modified xsi:type="dcterms:W3CDTF">2025-09-09T17:49:21Z</dcterms:modified>
</cp:coreProperties>
</file>