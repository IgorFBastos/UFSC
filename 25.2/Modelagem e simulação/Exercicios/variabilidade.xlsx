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gord\OneDrive\Área de Trabalho\UFSC\Modelagem e simulação\"/>
    </mc:Choice>
  </mc:AlternateContent>
  <xr:revisionPtr revIDLastSave="0" documentId="8_{438A1BC6-5E2B-4451-A748-7AEDCEA5E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Planilha2" sheetId="3" r:id="rId2"/>
    <sheet name="Planilha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 s="1"/>
  <c r="G21" i="1" s="1"/>
  <c r="G22" i="1" s="1"/>
  <c r="G23" i="1" s="1"/>
  <c r="G24" i="1" s="1"/>
  <c r="G25" i="1" s="1"/>
  <c r="G26" i="1" s="1"/>
  <c r="G27" i="1" s="1"/>
  <c r="C20" i="1"/>
  <c r="C21" i="1"/>
  <c r="C22" i="1"/>
  <c r="C23" i="1"/>
  <c r="C24" i="1"/>
  <c r="C25" i="1"/>
  <c r="C26" i="1"/>
  <c r="C27" i="1"/>
  <c r="C19" i="1"/>
  <c r="O4" i="1"/>
</calcChain>
</file>

<file path=xl/sharedStrings.xml><?xml version="1.0" encoding="utf-8"?>
<sst xmlns="http://schemas.openxmlformats.org/spreadsheetml/2006/main" count="26" uniqueCount="26">
  <si>
    <t>valores amostrados para taxa de chegada</t>
  </si>
  <si>
    <t>Média das amostras</t>
  </si>
  <si>
    <t>Maior valor amostrado</t>
  </si>
  <si>
    <t>Menor valor amostrado</t>
  </si>
  <si>
    <t>Distribuição de frequencias</t>
  </si>
  <si>
    <t>classes</t>
  </si>
  <si>
    <t>ponto médio (xi)</t>
  </si>
  <si>
    <t>observações</t>
  </si>
  <si>
    <t>frequência acumulada</t>
  </si>
  <si>
    <t xml:space="preserve">intervalo de valores </t>
  </si>
  <si>
    <t>0,01 até 0,35</t>
  </si>
  <si>
    <t>0,36 até 0,54</t>
  </si>
  <si>
    <t>0,55 até 0,73</t>
  </si>
  <si>
    <t>0,74 até 0,86</t>
  </si>
  <si>
    <t xml:space="preserve">0,87 até 0,89 </t>
  </si>
  <si>
    <t>0,89 até 0,96</t>
  </si>
  <si>
    <t>0,98 até 0,99</t>
  </si>
  <si>
    <t>cliente</t>
  </si>
  <si>
    <t>TEC</t>
  </si>
  <si>
    <t>Tempo de chegada no relógio</t>
  </si>
  <si>
    <t>Tempo de serviço</t>
  </si>
  <si>
    <t>Tempo de inicío de serviço no relogio</t>
  </si>
  <si>
    <t>Tempo final do serviço relógio</t>
  </si>
  <si>
    <t>Tempo do clinte no sistema</t>
  </si>
  <si>
    <t>Tempo livre do operador</t>
  </si>
  <si>
    <t>Tempo clintes na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</si>
</sst>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Font="1" applyBorder="1" applyAlignment="1">
      <alignment horizontal="center" vertical="center"/>
    </xf>
    <xf numFmtId="0" fontId="0" fillId="0" borderId="0" xfId="0" applyBorder="1"/>
    <xf numFmtId="0" fontId="0" fillId="6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topLeftCell="A16" workbookViewId="0">
      <selection activeCell="E33" sqref="E33:F33"/>
    </sheetView>
  </sheetViews>
  <sheetFormatPr defaultRowHeight="14.4" x14ac:dyDescent="0.3"/>
  <cols>
    <col min="7" max="7" width="10.33203125" customWidth="1"/>
    <col min="8" max="8" width="9.5546875" customWidth="1"/>
    <col min="9" max="9" width="8.88671875" customWidth="1"/>
    <col min="10" max="10" width="10" customWidth="1"/>
    <col min="14" max="14" width="11.5546875" customWidth="1"/>
    <col min="15" max="15" width="9.33203125" customWidth="1"/>
  </cols>
  <sheetData>
    <row r="1" spans="1:15" ht="15" thickBot="1" x14ac:dyDescent="0.35"/>
    <row r="2" spans="1:15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3"/>
    </row>
    <row r="3" spans="1:15" ht="15" thickBot="1" x14ac:dyDescent="0.35">
      <c r="A3" s="4"/>
      <c r="B3" s="5"/>
      <c r="C3" s="5"/>
      <c r="D3" s="5"/>
      <c r="E3" s="5"/>
      <c r="F3" s="5"/>
      <c r="G3" s="5"/>
      <c r="H3" s="5"/>
      <c r="I3" s="5"/>
      <c r="J3" s="6"/>
    </row>
    <row r="4" spans="1:15" ht="15" thickBot="1" x14ac:dyDescent="0.35">
      <c r="A4" s="28">
        <v>13.6</v>
      </c>
      <c r="B4" s="28">
        <v>27.9</v>
      </c>
      <c r="C4" s="28">
        <v>1.1000000000000001</v>
      </c>
      <c r="D4" s="28">
        <v>12.3</v>
      </c>
      <c r="E4" s="28">
        <v>9.6999999999999993</v>
      </c>
      <c r="F4" s="28">
        <v>12.7</v>
      </c>
      <c r="G4" s="28">
        <v>15.3</v>
      </c>
      <c r="H4" s="28">
        <v>4.0999999999999996</v>
      </c>
      <c r="I4" s="28">
        <v>13.5</v>
      </c>
      <c r="J4" s="28">
        <v>0.7</v>
      </c>
      <c r="M4" s="7" t="s">
        <v>1</v>
      </c>
      <c r="N4" s="8"/>
      <c r="O4" s="9">
        <f>SUM(A4:J13)/100</f>
        <v>10.982799999999997</v>
      </c>
    </row>
    <row r="5" spans="1:15" ht="15" thickBot="1" x14ac:dyDescent="0.35">
      <c r="A5" s="24">
        <v>10.8</v>
      </c>
      <c r="B5" s="24">
        <v>29.5</v>
      </c>
      <c r="C5" s="24">
        <v>5.8</v>
      </c>
      <c r="D5" s="24">
        <v>9.9</v>
      </c>
      <c r="E5" s="24">
        <v>6.1</v>
      </c>
      <c r="F5" s="24">
        <v>5.5</v>
      </c>
      <c r="G5" s="24">
        <v>7.7</v>
      </c>
      <c r="H5" s="24">
        <v>17.399999999999999</v>
      </c>
      <c r="I5" s="24">
        <v>7.7</v>
      </c>
      <c r="J5" s="24">
        <v>26.4</v>
      </c>
      <c r="M5" s="7" t="s">
        <v>2</v>
      </c>
      <c r="N5" s="8"/>
      <c r="O5" s="9">
        <v>42.7</v>
      </c>
    </row>
    <row r="6" spans="1:15" ht="15" thickBot="1" x14ac:dyDescent="0.35">
      <c r="A6" s="29">
        <v>15.9</v>
      </c>
      <c r="B6" s="29">
        <v>5.9</v>
      </c>
      <c r="C6" s="29">
        <v>11.6</v>
      </c>
      <c r="D6" s="29">
        <v>2.7</v>
      </c>
      <c r="E6" s="29">
        <v>2.9</v>
      </c>
      <c r="F6" s="29">
        <v>1.7</v>
      </c>
      <c r="G6" s="29">
        <v>4.5999999999999996</v>
      </c>
      <c r="H6" s="29">
        <v>35.5</v>
      </c>
      <c r="I6" s="29">
        <v>15.8</v>
      </c>
      <c r="J6" s="29">
        <v>17.5</v>
      </c>
      <c r="M6" s="7" t="s">
        <v>3</v>
      </c>
      <c r="N6" s="8"/>
      <c r="O6" s="9">
        <v>0.3</v>
      </c>
    </row>
    <row r="7" spans="1:15" x14ac:dyDescent="0.3">
      <c r="A7" s="24">
        <v>0.6</v>
      </c>
      <c r="B7" s="24">
        <v>4</v>
      </c>
      <c r="C7" s="24">
        <v>18.100000000000001</v>
      </c>
      <c r="D7" s="24">
        <v>21.8</v>
      </c>
      <c r="E7" s="24">
        <v>3.8</v>
      </c>
      <c r="F7" s="24">
        <v>14.6</v>
      </c>
      <c r="G7" s="24">
        <v>12.9</v>
      </c>
      <c r="H7" s="24">
        <v>8.5</v>
      </c>
      <c r="I7" s="24">
        <v>0.4</v>
      </c>
      <c r="J7" s="24">
        <v>2.5</v>
      </c>
    </row>
    <row r="8" spans="1:15" x14ac:dyDescent="0.3">
      <c r="A8" s="29">
        <v>33.1</v>
      </c>
      <c r="B8" s="29">
        <v>39.799999999999997</v>
      </c>
      <c r="C8" s="29">
        <v>6.4</v>
      </c>
      <c r="D8" s="29">
        <v>1.8</v>
      </c>
      <c r="E8" s="29">
        <v>8.3000000000000007</v>
      </c>
      <c r="F8" s="29">
        <v>11.9</v>
      </c>
      <c r="G8" s="29">
        <v>4.4000000000000004</v>
      </c>
      <c r="H8" s="29">
        <v>16.2</v>
      </c>
      <c r="I8" s="29">
        <v>6.8</v>
      </c>
      <c r="J8" s="29">
        <v>0.3</v>
      </c>
    </row>
    <row r="9" spans="1:15" x14ac:dyDescent="0.3">
      <c r="A9" s="24">
        <v>18</v>
      </c>
      <c r="B9" s="24">
        <v>12.1</v>
      </c>
      <c r="C9" s="24">
        <v>16.100000000000001</v>
      </c>
      <c r="D9" s="24">
        <v>8.5</v>
      </c>
      <c r="E9" s="24">
        <v>12.5</v>
      </c>
      <c r="F9" s="24">
        <v>1.4</v>
      </c>
      <c r="G9" s="24">
        <v>5.6</v>
      </c>
      <c r="H9" s="24">
        <v>8.1999999999999993</v>
      </c>
      <c r="I9" s="24">
        <v>0.9</v>
      </c>
      <c r="J9" s="24">
        <v>17.899999999999999</v>
      </c>
    </row>
    <row r="10" spans="1:15" x14ac:dyDescent="0.3">
      <c r="A10" s="29">
        <v>10.9</v>
      </c>
      <c r="B10" s="29">
        <v>24.4</v>
      </c>
      <c r="C10" s="29">
        <v>1.02</v>
      </c>
      <c r="D10" s="29">
        <v>28.1</v>
      </c>
      <c r="E10" s="29">
        <v>2</v>
      </c>
      <c r="F10" s="29">
        <v>42.7</v>
      </c>
      <c r="G10" s="29">
        <v>29.9</v>
      </c>
      <c r="H10" s="29">
        <v>4.9000000000000004</v>
      </c>
      <c r="I10" s="29">
        <v>3.1</v>
      </c>
      <c r="J10" s="29">
        <v>8.1</v>
      </c>
    </row>
    <row r="11" spans="1:15" x14ac:dyDescent="0.3">
      <c r="A11" s="24">
        <v>0.4</v>
      </c>
      <c r="B11" s="24">
        <v>10.4</v>
      </c>
      <c r="C11" s="24">
        <v>8.1</v>
      </c>
      <c r="D11" s="24">
        <v>2.74</v>
      </c>
      <c r="E11" s="24">
        <v>13</v>
      </c>
      <c r="F11" s="24">
        <v>0.7</v>
      </c>
      <c r="G11" s="24">
        <v>4.8</v>
      </c>
      <c r="H11" s="24">
        <v>2.8</v>
      </c>
      <c r="I11" s="24">
        <v>4.3</v>
      </c>
      <c r="J11" s="24">
        <v>3.4</v>
      </c>
    </row>
    <row r="12" spans="1:15" x14ac:dyDescent="0.3">
      <c r="A12" s="29">
        <v>28.5</v>
      </c>
      <c r="B12" s="29">
        <v>28.4</v>
      </c>
      <c r="C12" s="29">
        <v>3.02</v>
      </c>
      <c r="D12" s="29">
        <v>15.5</v>
      </c>
      <c r="E12" s="29">
        <v>17.3</v>
      </c>
      <c r="F12" s="29">
        <v>1.6</v>
      </c>
      <c r="G12" s="29">
        <v>17.7</v>
      </c>
      <c r="H12" s="29">
        <v>1.2</v>
      </c>
      <c r="I12" s="29">
        <v>13.4</v>
      </c>
      <c r="J12" s="29">
        <v>14.1</v>
      </c>
    </row>
    <row r="13" spans="1:15" x14ac:dyDescent="0.3">
      <c r="A13" s="24">
        <v>14.9</v>
      </c>
      <c r="B13" s="24">
        <v>4.3</v>
      </c>
      <c r="C13" s="24">
        <v>1.6</v>
      </c>
      <c r="D13" s="24">
        <v>0.6</v>
      </c>
      <c r="E13" s="24">
        <v>6.9</v>
      </c>
      <c r="F13" s="24">
        <v>22.6</v>
      </c>
      <c r="G13" s="24">
        <v>10.199999999999999</v>
      </c>
      <c r="H13" s="24">
        <v>7.3</v>
      </c>
      <c r="I13" s="24">
        <v>3.8</v>
      </c>
      <c r="J13" s="24">
        <v>10.4</v>
      </c>
    </row>
    <row r="15" spans="1:15" ht="15" thickBot="1" x14ac:dyDescent="0.35"/>
    <row r="16" spans="1:15" x14ac:dyDescent="0.3">
      <c r="A16" s="12" t="s">
        <v>4</v>
      </c>
      <c r="B16" s="13"/>
      <c r="C16" s="13"/>
      <c r="D16" s="13"/>
      <c r="E16" s="13"/>
      <c r="F16" s="13"/>
      <c r="G16" s="13"/>
      <c r="H16" s="13"/>
      <c r="I16" s="13"/>
      <c r="J16" s="14"/>
    </row>
    <row r="17" spans="1:16" ht="15" thickBot="1" x14ac:dyDescent="0.35">
      <c r="A17" s="15"/>
      <c r="B17" s="16"/>
      <c r="C17" s="16"/>
      <c r="D17" s="16"/>
      <c r="E17" s="16"/>
      <c r="F17" s="16"/>
      <c r="G17" s="16"/>
      <c r="H17" s="16"/>
      <c r="I17" s="16"/>
      <c r="J17" s="17"/>
    </row>
    <row r="18" spans="1:16" ht="15" thickBot="1" x14ac:dyDescent="0.35">
      <c r="A18" s="10" t="s">
        <v>5</v>
      </c>
      <c r="B18" s="11"/>
      <c r="C18" s="10" t="s">
        <v>6</v>
      </c>
      <c r="D18" s="11"/>
      <c r="E18" s="10" t="s">
        <v>7</v>
      </c>
      <c r="F18" s="11"/>
      <c r="G18" s="10" t="s">
        <v>8</v>
      </c>
      <c r="H18" s="11"/>
      <c r="I18" s="10" t="s">
        <v>9</v>
      </c>
      <c r="J18" s="11"/>
    </row>
    <row r="19" spans="1:16" x14ac:dyDescent="0.3">
      <c r="A19" s="19">
        <v>0</v>
      </c>
      <c r="B19" s="19">
        <v>5</v>
      </c>
      <c r="C19" s="21">
        <f>SUM(A19,B19)/2</f>
        <v>2.5</v>
      </c>
      <c r="D19" s="21"/>
      <c r="E19" s="22">
        <v>35</v>
      </c>
      <c r="F19" s="22"/>
      <c r="G19" s="21">
        <f>(E19/100)</f>
        <v>0.35</v>
      </c>
      <c r="H19" s="21"/>
      <c r="I19" s="27" t="s">
        <v>10</v>
      </c>
      <c r="J19" s="27"/>
    </row>
    <row r="20" spans="1:16" x14ac:dyDescent="0.3">
      <c r="A20" s="24">
        <v>5</v>
      </c>
      <c r="B20" s="24">
        <v>10</v>
      </c>
      <c r="C20" s="25">
        <f t="shared" ref="C20:C27" si="0">SUM(A20,B20)/2</f>
        <v>7.5</v>
      </c>
      <c r="D20" s="25"/>
      <c r="E20" s="25">
        <v>19</v>
      </c>
      <c r="F20" s="25"/>
      <c r="G20" s="26">
        <f>(E20/100) + G19</f>
        <v>0.54</v>
      </c>
      <c r="H20" s="26"/>
      <c r="I20" s="25" t="s">
        <v>11</v>
      </c>
      <c r="J20" s="25"/>
    </row>
    <row r="21" spans="1:16" x14ac:dyDescent="0.3">
      <c r="A21" s="18">
        <v>10</v>
      </c>
      <c r="B21" s="18">
        <v>15</v>
      </c>
      <c r="C21" s="20">
        <f t="shared" si="0"/>
        <v>12.5</v>
      </c>
      <c r="D21" s="20"/>
      <c r="E21" s="20">
        <v>19</v>
      </c>
      <c r="F21" s="20"/>
      <c r="G21" s="21">
        <f>(E21/100) + G20</f>
        <v>0.73</v>
      </c>
      <c r="H21" s="21"/>
      <c r="I21" s="20" t="s">
        <v>12</v>
      </c>
      <c r="J21" s="20"/>
    </row>
    <row r="22" spans="1:16" x14ac:dyDescent="0.3">
      <c r="A22" s="24">
        <v>15</v>
      </c>
      <c r="B22" s="24">
        <v>20</v>
      </c>
      <c r="C22" s="25">
        <f t="shared" si="0"/>
        <v>17.5</v>
      </c>
      <c r="D22" s="25"/>
      <c r="E22" s="25">
        <v>13</v>
      </c>
      <c r="F22" s="25"/>
      <c r="G22" s="26">
        <f>(E22/100) + G21</f>
        <v>0.86</v>
      </c>
      <c r="H22" s="26"/>
      <c r="I22" s="25" t="s">
        <v>13</v>
      </c>
      <c r="J22" s="25"/>
    </row>
    <row r="23" spans="1:16" x14ac:dyDescent="0.3">
      <c r="A23" s="18">
        <v>20</v>
      </c>
      <c r="B23" s="18">
        <v>25</v>
      </c>
      <c r="C23" s="20">
        <f t="shared" si="0"/>
        <v>22.5</v>
      </c>
      <c r="D23" s="20"/>
      <c r="E23" s="20">
        <v>3</v>
      </c>
      <c r="F23" s="20"/>
      <c r="G23" s="21">
        <f>(E23/100) + G22</f>
        <v>0.89</v>
      </c>
      <c r="H23" s="21"/>
      <c r="I23" s="20" t="s">
        <v>14</v>
      </c>
      <c r="J23" s="20"/>
    </row>
    <row r="24" spans="1:16" x14ac:dyDescent="0.3">
      <c r="A24" s="24">
        <v>25</v>
      </c>
      <c r="B24" s="24">
        <v>30</v>
      </c>
      <c r="C24" s="25">
        <f t="shared" si="0"/>
        <v>27.5</v>
      </c>
      <c r="D24" s="25"/>
      <c r="E24" s="25">
        <v>7</v>
      </c>
      <c r="F24" s="25"/>
      <c r="G24" s="26">
        <f>(E24/100) + G23</f>
        <v>0.96</v>
      </c>
      <c r="H24" s="26"/>
      <c r="I24" s="25" t="s">
        <v>15</v>
      </c>
      <c r="J24" s="25"/>
    </row>
    <row r="25" spans="1:16" x14ac:dyDescent="0.3">
      <c r="A25" s="18">
        <v>30</v>
      </c>
      <c r="B25" s="18">
        <v>35</v>
      </c>
      <c r="C25" s="20">
        <f t="shared" si="0"/>
        <v>32.5</v>
      </c>
      <c r="D25" s="20"/>
      <c r="E25" s="20">
        <v>1</v>
      </c>
      <c r="F25" s="20"/>
      <c r="G25" s="21">
        <f>(E25/100) + G24</f>
        <v>0.97</v>
      </c>
      <c r="H25" s="21"/>
      <c r="I25" s="20">
        <v>0.97</v>
      </c>
      <c r="J25" s="20"/>
    </row>
    <row r="26" spans="1:16" x14ac:dyDescent="0.3">
      <c r="A26" s="24">
        <v>35</v>
      </c>
      <c r="B26" s="24">
        <v>40</v>
      </c>
      <c r="C26" s="25">
        <f t="shared" si="0"/>
        <v>37.5</v>
      </c>
      <c r="D26" s="25"/>
      <c r="E26" s="25">
        <v>2</v>
      </c>
      <c r="F26" s="25"/>
      <c r="G26" s="26">
        <f>(E26/100) + G25</f>
        <v>0.99</v>
      </c>
      <c r="H26" s="26"/>
      <c r="I26" s="25" t="s">
        <v>16</v>
      </c>
      <c r="J26" s="25"/>
    </row>
    <row r="27" spans="1:16" x14ac:dyDescent="0.3">
      <c r="A27" s="18">
        <v>40</v>
      </c>
      <c r="B27" s="18">
        <v>45</v>
      </c>
      <c r="C27" s="20">
        <f t="shared" si="0"/>
        <v>42.5</v>
      </c>
      <c r="D27" s="20"/>
      <c r="E27" s="20">
        <v>1</v>
      </c>
      <c r="F27" s="20"/>
      <c r="G27" s="21">
        <f>(E27/100) + G26</f>
        <v>1</v>
      </c>
      <c r="H27" s="21"/>
      <c r="I27" s="20">
        <v>1</v>
      </c>
      <c r="J27" s="20"/>
    </row>
    <row r="30" spans="1:16" ht="15" thickBot="1" x14ac:dyDescent="0.35"/>
    <row r="31" spans="1:16" ht="34.200000000000003" customHeight="1" thickBot="1" x14ac:dyDescent="0.35">
      <c r="A31" s="38" t="s">
        <v>17</v>
      </c>
      <c r="B31" s="39" t="s">
        <v>18</v>
      </c>
      <c r="C31" s="40" t="s">
        <v>19</v>
      </c>
      <c r="D31" s="41"/>
      <c r="E31" s="42" t="s">
        <v>20</v>
      </c>
      <c r="F31" s="43"/>
      <c r="G31" s="40" t="s">
        <v>21</v>
      </c>
      <c r="H31" s="41"/>
      <c r="I31" s="40" t="s">
        <v>25</v>
      </c>
      <c r="J31" s="41"/>
      <c r="K31" s="40" t="s">
        <v>22</v>
      </c>
      <c r="L31" s="41"/>
      <c r="M31" s="40" t="s">
        <v>23</v>
      </c>
      <c r="N31" s="41"/>
      <c r="O31" s="40" t="s">
        <v>24</v>
      </c>
      <c r="P31" s="41"/>
    </row>
    <row r="32" spans="1:16" x14ac:dyDescent="0.3">
      <c r="A32" s="44">
        <v>0</v>
      </c>
      <c r="B32" s="44">
        <v>0</v>
      </c>
      <c r="C32" s="45">
        <v>0</v>
      </c>
      <c r="D32" s="45"/>
      <c r="E32" s="45">
        <v>0</v>
      </c>
      <c r="F32" s="45"/>
      <c r="G32" s="45">
        <v>0</v>
      </c>
      <c r="H32" s="45"/>
      <c r="I32" s="45">
        <v>0</v>
      </c>
      <c r="J32" s="45"/>
      <c r="K32" s="45">
        <v>0</v>
      </c>
      <c r="L32" s="45"/>
      <c r="M32" s="45">
        <v>0</v>
      </c>
      <c r="N32" s="45"/>
      <c r="O32" s="45">
        <v>0</v>
      </c>
      <c r="P32" s="45"/>
    </row>
    <row r="33" spans="1:16" x14ac:dyDescent="0.3">
      <c r="A33" s="34">
        <v>1</v>
      </c>
      <c r="B33" s="35">
        <v>7.5</v>
      </c>
      <c r="C33" s="36"/>
      <c r="D33" s="37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x14ac:dyDescent="0.3">
      <c r="A34" s="31">
        <v>2</v>
      </c>
      <c r="B34" s="30">
        <v>2.5</v>
      </c>
      <c r="C34" s="32"/>
      <c r="D34" s="33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x14ac:dyDescent="0.3">
      <c r="A35" s="34">
        <v>3</v>
      </c>
      <c r="B35" s="24">
        <v>2.5</v>
      </c>
      <c r="C35" s="36"/>
      <c r="D35" s="37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x14ac:dyDescent="0.3">
      <c r="A36" s="31">
        <v>4</v>
      </c>
      <c r="B36" s="30">
        <v>2.5</v>
      </c>
      <c r="C36" s="32"/>
      <c r="D36" s="33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 x14ac:dyDescent="0.3">
      <c r="A37" s="34">
        <v>5</v>
      </c>
      <c r="B37" s="24">
        <v>27.5</v>
      </c>
      <c r="C37" s="36"/>
      <c r="D37" s="37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x14ac:dyDescent="0.3">
      <c r="A38" s="31">
        <v>6</v>
      </c>
      <c r="B38" s="30">
        <v>12.5</v>
      </c>
      <c r="C38" s="32"/>
      <c r="D38" s="33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 x14ac:dyDescent="0.3">
      <c r="A39" s="34">
        <v>7</v>
      </c>
      <c r="B39" s="24">
        <v>7.5</v>
      </c>
      <c r="C39" s="36"/>
      <c r="D39" s="37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x14ac:dyDescent="0.3">
      <c r="A40" s="31">
        <v>8</v>
      </c>
      <c r="B40" s="30">
        <v>17.5</v>
      </c>
      <c r="C40" s="32"/>
      <c r="D40" s="33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x14ac:dyDescent="0.3">
      <c r="A41" s="34">
        <v>9</v>
      </c>
      <c r="B41" s="24">
        <v>17.5</v>
      </c>
      <c r="C41" s="36"/>
      <c r="D41" s="37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 x14ac:dyDescent="0.3">
      <c r="A42" s="31">
        <v>10</v>
      </c>
      <c r="B42" s="30">
        <v>12.5</v>
      </c>
      <c r="C42" s="32"/>
      <c r="D42" s="33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 x14ac:dyDescent="0.3">
      <c r="A43" s="34">
        <v>11</v>
      </c>
      <c r="B43" s="24">
        <v>12.5</v>
      </c>
      <c r="C43" s="36"/>
      <c r="D43" s="37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x14ac:dyDescent="0.3">
      <c r="A44" s="31">
        <v>12</v>
      </c>
      <c r="B44" s="30">
        <v>2.5</v>
      </c>
      <c r="C44" s="32"/>
      <c r="D44" s="33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x14ac:dyDescent="0.3">
      <c r="A45" s="34">
        <v>13</v>
      </c>
      <c r="B45" s="24">
        <v>7.5</v>
      </c>
      <c r="C45" s="36"/>
      <c r="D45" s="37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31">
        <v>14</v>
      </c>
      <c r="B46" s="30">
        <v>2.5</v>
      </c>
      <c r="C46" s="32"/>
      <c r="D46" s="33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pans="1:16" x14ac:dyDescent="0.3">
      <c r="A47" s="34">
        <v>15</v>
      </c>
      <c r="B47" s="24">
        <v>7.5</v>
      </c>
      <c r="C47" s="36"/>
      <c r="D47" s="37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1:16" x14ac:dyDescent="0.3">
      <c r="B48" s="23"/>
    </row>
  </sheetData>
  <mergeCells count="165">
    <mergeCell ref="O33:P33"/>
    <mergeCell ref="O32:P32"/>
    <mergeCell ref="M33:N33"/>
    <mergeCell ref="M32:N32"/>
    <mergeCell ref="O47:P47"/>
    <mergeCell ref="O46:P46"/>
    <mergeCell ref="O45:P45"/>
    <mergeCell ref="O44:P44"/>
    <mergeCell ref="O43:P43"/>
    <mergeCell ref="O42:P42"/>
    <mergeCell ref="O41:P41"/>
    <mergeCell ref="O40:P40"/>
    <mergeCell ref="O39:P39"/>
    <mergeCell ref="O38:P38"/>
    <mergeCell ref="O37:P37"/>
    <mergeCell ref="O35:P35"/>
    <mergeCell ref="O36:P36"/>
    <mergeCell ref="O34:P34"/>
    <mergeCell ref="K33:L33"/>
    <mergeCell ref="K32:L32"/>
    <mergeCell ref="M47:N47"/>
    <mergeCell ref="M46:N46"/>
    <mergeCell ref="M45:N45"/>
    <mergeCell ref="M44:N44"/>
    <mergeCell ref="M43:N43"/>
    <mergeCell ref="M42:N42"/>
    <mergeCell ref="M41:N41"/>
    <mergeCell ref="M40:N40"/>
    <mergeCell ref="M39:N39"/>
    <mergeCell ref="M38:N38"/>
    <mergeCell ref="M37:N37"/>
    <mergeCell ref="M36:N36"/>
    <mergeCell ref="M35:N35"/>
    <mergeCell ref="M34:N34"/>
    <mergeCell ref="I33:J33"/>
    <mergeCell ref="I32:J32"/>
    <mergeCell ref="K47:L47"/>
    <mergeCell ref="K46:L46"/>
    <mergeCell ref="K45:L45"/>
    <mergeCell ref="K44:L44"/>
    <mergeCell ref="K43:L43"/>
    <mergeCell ref="K42:L42"/>
    <mergeCell ref="K41:L41"/>
    <mergeCell ref="K40:L40"/>
    <mergeCell ref="K39:L39"/>
    <mergeCell ref="K38:L38"/>
    <mergeCell ref="K37:L37"/>
    <mergeCell ref="K36:L36"/>
    <mergeCell ref="K35:L35"/>
    <mergeCell ref="K34:L34"/>
    <mergeCell ref="G33:H33"/>
    <mergeCell ref="G32:H32"/>
    <mergeCell ref="I47:J47"/>
    <mergeCell ref="I46:J46"/>
    <mergeCell ref="I45:J45"/>
    <mergeCell ref="I44:J44"/>
    <mergeCell ref="I43:J43"/>
    <mergeCell ref="I42:J42"/>
    <mergeCell ref="I41:J41"/>
    <mergeCell ref="I40:J40"/>
    <mergeCell ref="I39:J39"/>
    <mergeCell ref="I38:J38"/>
    <mergeCell ref="I37:J37"/>
    <mergeCell ref="I36:J36"/>
    <mergeCell ref="I35:J35"/>
    <mergeCell ref="I34:J34"/>
    <mergeCell ref="E33:F33"/>
    <mergeCell ref="E32:F32"/>
    <mergeCell ref="G47:H47"/>
    <mergeCell ref="G46:H46"/>
    <mergeCell ref="G45:H45"/>
    <mergeCell ref="G44:H44"/>
    <mergeCell ref="G43:H43"/>
    <mergeCell ref="G42:H42"/>
    <mergeCell ref="G41:H41"/>
    <mergeCell ref="G40:H40"/>
    <mergeCell ref="G39:H39"/>
    <mergeCell ref="G38:H38"/>
    <mergeCell ref="G37:H37"/>
    <mergeCell ref="G36:H36"/>
    <mergeCell ref="G35:H35"/>
    <mergeCell ref="G34:H34"/>
    <mergeCell ref="C33:D33"/>
    <mergeCell ref="C32:D32"/>
    <mergeCell ref="E47:F47"/>
    <mergeCell ref="E46:F46"/>
    <mergeCell ref="E45:F45"/>
    <mergeCell ref="E44:F44"/>
    <mergeCell ref="E43:F43"/>
    <mergeCell ref="E42:F42"/>
    <mergeCell ref="E41:F41"/>
    <mergeCell ref="E40:F40"/>
    <mergeCell ref="E39:F39"/>
    <mergeCell ref="E38:F38"/>
    <mergeCell ref="E37:F37"/>
    <mergeCell ref="E36:F36"/>
    <mergeCell ref="E35:F35"/>
    <mergeCell ref="E34:F34"/>
    <mergeCell ref="M31:N31"/>
    <mergeCell ref="O31:P31"/>
    <mergeCell ref="C47:D47"/>
    <mergeCell ref="C46:D46"/>
    <mergeCell ref="C45:D45"/>
    <mergeCell ref="C44:D44"/>
    <mergeCell ref="C43:D43"/>
    <mergeCell ref="C42:D42"/>
    <mergeCell ref="C41:D41"/>
    <mergeCell ref="C40:D40"/>
    <mergeCell ref="C39:D39"/>
    <mergeCell ref="C38:D38"/>
    <mergeCell ref="C37:D37"/>
    <mergeCell ref="C36:D36"/>
    <mergeCell ref="C35:D35"/>
    <mergeCell ref="C34:D34"/>
    <mergeCell ref="K31:L31"/>
    <mergeCell ref="C31:D31"/>
    <mergeCell ref="E31:F31"/>
    <mergeCell ref="G31:H31"/>
    <mergeCell ref="I31:J31"/>
    <mergeCell ref="I21:J21"/>
    <mergeCell ref="I20:J20"/>
    <mergeCell ref="I19:J19"/>
    <mergeCell ref="A16:J17"/>
    <mergeCell ref="G21:H21"/>
    <mergeCell ref="G20:H20"/>
    <mergeCell ref="G19:H19"/>
    <mergeCell ref="I18:J18"/>
    <mergeCell ref="I27:J27"/>
    <mergeCell ref="I26:J26"/>
    <mergeCell ref="I25:J25"/>
    <mergeCell ref="I24:J24"/>
    <mergeCell ref="I23:J23"/>
    <mergeCell ref="I22:J22"/>
    <mergeCell ref="G27:H27"/>
    <mergeCell ref="G26:H26"/>
    <mergeCell ref="G25:H25"/>
    <mergeCell ref="G24:H24"/>
    <mergeCell ref="G23:H23"/>
    <mergeCell ref="G22:H22"/>
    <mergeCell ref="E24:F24"/>
    <mergeCell ref="E23:F23"/>
    <mergeCell ref="E22:F22"/>
    <mergeCell ref="E21:F21"/>
    <mergeCell ref="E20:F20"/>
    <mergeCell ref="E19:F19"/>
    <mergeCell ref="C25:D25"/>
    <mergeCell ref="C26:D26"/>
    <mergeCell ref="C27:D27"/>
    <mergeCell ref="E27:F27"/>
    <mergeCell ref="E26:F26"/>
    <mergeCell ref="E25:F25"/>
    <mergeCell ref="C19:D19"/>
    <mergeCell ref="C20:D20"/>
    <mergeCell ref="C21:D21"/>
    <mergeCell ref="C22:D22"/>
    <mergeCell ref="C23:D23"/>
    <mergeCell ref="C24:D24"/>
    <mergeCell ref="A2:J3"/>
    <mergeCell ref="M4:N4"/>
    <mergeCell ref="M5:N5"/>
    <mergeCell ref="M6:N6"/>
    <mergeCell ref="A18:B18"/>
    <mergeCell ref="C18:D18"/>
    <mergeCell ref="E18:F18"/>
    <mergeCell ref="G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A5FF-FD8B-44E2-849F-A1CAFB7D40F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C89E-3A00-44CA-BA6E-850479F476D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f Bastos</cp:lastModifiedBy>
  <dcterms:created xsi:type="dcterms:W3CDTF">2025-09-07T22:33:57Z</dcterms:created>
  <dcterms:modified xsi:type="dcterms:W3CDTF">2025-09-07T23:57:00Z</dcterms:modified>
</cp:coreProperties>
</file>